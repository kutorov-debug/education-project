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c9468e228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5ac7240908524bb8"/>
    <x:sheet xmlns:r="http://schemas.openxmlformats.org/officeDocument/2006/relationships" name="Контракт" sheetId="2" r:id="R2f4f0b38035d4a87"/>
    <x:sheet xmlns:r="http://schemas.openxmlformats.org/officeDocument/2006/relationships" name="Калькулятор" sheetId="3" r:id="R23b2417182aa4a13"/>
    <x:sheet xmlns:r="http://schemas.openxmlformats.org/officeDocument/2006/relationships" name="Журнал сделок" sheetId="4" r:id="R36f4e7b802014d5e"/>
    <x:sheet xmlns:r="http://schemas.openxmlformats.org/officeDocument/2006/relationships" name="Прогресс" sheetId="5" r:id="R98912e68384d4b2a"/>
    <x:sheet xmlns:r="http://schemas.openxmlformats.org/officeDocument/2006/relationships" name="Источники" sheetId="6" r:id="Rd4fff69ec13543e5"/>
    <x:sheet xmlns:r="http://schemas.openxmlformats.org/officeDocument/2006/relationships" name="Проверки" sheetId="7" r:id="R24b1f3f57436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;-"/>
    <x:numFmt numFmtId="201" formatCode="0%"/>
    <x:numFmt numFmtId="202" formatCode="yyyy-mm-dd"/>
    <x:numFmt numFmtId="203" formatCode="#,##0.00;[Red](#,##0.00);-"/>
    <x:numFmt numFmtId="204" formatCode="0.0x"/>
    <x:numFmt numFmtId="205" formatCode="#,##0.00"/>
    <x:numFmt numFmtId="206" formatCode="0"/>
  </x:numFmts>
  <x:fonts count="28">
    <x:font>
      <x:sz val="11"/>
      <x:name val="Carlito"/>
    </x:font>
    <x:font>
      <x:b/>
      <x:sz val="18"/>
      <x:color rgb="FFFFFFFF"/>
      <x:name val="Carlito"/>
    </x:font>
    <x:font>
      <x:sz val="11"/>
      <x:color rgb="FFA86400"/>
      <x:name val="Carlito"/>
    </x:font>
    <x:font>
      <x:b/>
      <x:sz val="11"/>
      <x:color rgb="FF5B6573"/>
      <x:name val="Carlito"/>
    </x:font>
    <x:font>
      <x:b/>
      <x:sz val="16"/>
      <x:color rgb="FF12355B"/>
      <x:name val="Carlito"/>
    </x:font>
    <x:font>
      <x:b/>
      <x:sz val="13"/>
      <x:color rgb="FF12355B"/>
      <x:name val="Carlito"/>
    </x:font>
    <x:font>
      <x:b/>
      <x:sz val="11"/>
      <x:color rgb="FFFFFFFF"/>
      <x:name val="Carlito"/>
    </x:font>
    <x:font>
      <x:b/>
      <x:sz val="11"/>
      <x:color rgb="FF0B5CAB"/>
      <x:name val="Carlito"/>
    </x:font>
    <x:font>
      <x:b/>
      <x:sz val="11"/>
      <x:color rgb="FF12355B"/>
      <x:name val="Carlito"/>
    </x:font>
    <x:font>
      <x:i/>
      <x:sz val="11"/>
      <x:color rgb="FF5B6573"/>
      <x:name val="Carlito"/>
    </x:font>
    <x:font>
      <x:sz val="11"/>
      <x:color rgb="FF0000FF"/>
      <x:name val="Carlito"/>
    </x:font>
    <x:font>
      <x:sz val="11"/>
      <x:color rgb="FF111827"/>
      <x:name val="Carlito"/>
    </x:font>
    <x:font>
      <x:sz val="11"/>
      <x:color rgb="FF008000"/>
      <x:name val="Carlito"/>
    </x:font>
    <x:font>
      <x:b/>
      <x:sz val="11"/>
      <x:color rgb="FFA86400"/>
      <x:name val="Carlito"/>
    </x:font>
    <x:font>
      <x:b/>
      <x:sz val="18"/>
      <x:color rgb="FFFFFFFF"/>
      <x:name val="Aptos"/>
    </x:font>
    <x:font>
      <x:sz val="11"/>
      <x:color rgb="FFA86400"/>
      <x:name val="Aptos"/>
    </x:font>
    <x:font>
      <x:sz val="11"/>
      <x:name val="Aptos"/>
    </x:font>
    <x:font>
      <x:b/>
      <x:sz val="11"/>
      <x:color rgb="FF5B6573"/>
      <x:name val="Aptos"/>
    </x:font>
    <x:font>
      <x:b/>
      <x:sz val="16"/>
      <x:color rgb="FF12355B"/>
      <x:name val="Aptos"/>
    </x:font>
    <x:font>
      <x:b/>
      <x:sz val="13"/>
      <x:color rgb="FF12355B"/>
      <x:name val="Aptos"/>
    </x:font>
    <x:font>
      <x:b/>
      <x:sz val="11"/>
      <x:color rgb="FFFFFFFF"/>
      <x:name val="Aptos"/>
    </x:font>
    <x:font>
      <x:b/>
      <x:sz val="11"/>
      <x:color rgb="FF0B5CAB"/>
      <x:name val="Aptos"/>
    </x:font>
    <x:font>
      <x:b/>
      <x:sz val="11"/>
      <x:color rgb="FF12355B"/>
      <x:name val="Aptos"/>
    </x:font>
    <x:font>
      <x:i/>
      <x:sz val="11"/>
      <x:color rgb="FF5B6573"/>
      <x:name val="Aptos"/>
    </x:font>
    <x:font>
      <x:sz val="11"/>
      <x:color rgb="FF0000FF"/>
      <x:name val="Aptos"/>
    </x:font>
    <x:font>
      <x:sz val="11"/>
      <x:color rgb="FF111827"/>
      <x:name val="Aptos"/>
    </x:font>
    <x:font>
      <x:sz val="11"/>
      <x:color rgb="FF008000"/>
      <x:name val="Aptos"/>
    </x:font>
    <x:font>
      <x:b/>
      <x:sz val="11"/>
      <x:color rgb="FFA864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FFF4D6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0B5CAB"/>
      </x:patternFill>
    </x:fill>
    <x:fill>
      <x:patternFill patternType="solid">
        <x:fgColor rgb="FFE8F1FB"/>
      </x:patternFill>
    </x:fill>
    <x:fill>
      <x:patternFill patternType="solid">
        <x:fgColor rgb="FFF7FBFF"/>
      </x:patternFill>
    </x:fill>
    <x:fill>
      <x:patternFill patternType="solid">
        <x:fgColor rgb="FFF3FBF4"/>
      </x:patternFill>
    </x:fill>
  </x:fills>
  <x:borders count="21">
    <x:border/>
    <x:border>
      <x:left style="thin">
        <x:color rgb="FFE7C66B"/>
      </x:left>
      <x:top style="thin">
        <x:color rgb="FFE7C66B"/>
      </x:top>
      <x:bottom style="thin">
        <x:color rgb="FFE7C66B"/>
      </x:bottom>
    </x:border>
    <x:border>
      <x:top style="thin">
        <x:color rgb="FFE7C66B"/>
      </x:top>
      <x:bottom style="thin">
        <x:color rgb="FFE7C66B"/>
      </x:bottom>
    </x:border>
    <x:border>
      <x:right style="thin">
        <x:color rgb="FFE7C66B"/>
      </x:right>
      <x:top style="thin">
        <x:color rgb="FFE7C66B"/>
      </x:top>
      <x:bottom style="thin">
        <x:color rgb="FFE7C66B"/>
      </x:bottom>
    </x:border>
    <x:border>
      <x:left style="thin">
        <x:color rgb="FFCBD3DC"/>
      </x:left>
      <x:top style="thin">
        <x:color rgb="FFCBD3DC"/>
      </x:top>
    </x:border>
    <x:border>
      <x:top style="thin">
        <x:color rgb="FFCBD3DC"/>
      </x:top>
    </x:border>
    <x:border>
      <x:right style="thin">
        <x:color rgb="FFCBD3DC"/>
      </x:right>
      <x:top style="thin">
        <x:color rgb="FFCBD3DC"/>
      </x:top>
    </x:border>
    <x:border>
      <x:left style="thin">
        <x:color rgb="FFCBD3DC"/>
      </x:left>
      <x:bottom style="thin">
        <x:color rgb="FFCBD3DC"/>
      </x:bottom>
    </x:border>
    <x:border>
      <x:bottom style="thin">
        <x:color rgb="FFCBD3DC"/>
      </x:bottom>
    </x:border>
    <x:border>
      <x:right style="thin">
        <x:color rgb="FFCBD3DC"/>
      </x:right>
      <x:bottom style="thin">
        <x:color rgb="FFCBD3DC"/>
      </x:bottom>
    </x:border>
    <x:border>
      <x:left style="thin">
        <x:color rgb="FFCBD3DC"/>
      </x:left>
      <x:right style="thin">
        <x:color rgb="FFCBD3DC"/>
      </x:right>
      <x:bottom style="thin">
        <x:color rgb="FFCBD3DC"/>
      </x:bottom>
    </x:border>
    <x:border>
      <x:right style="thin">
        <x:color rgb="FFCBD3DC"/>
      </x:right>
      <x:top style="thin">
        <x:color rgb="FFCBD3DC"/>
      </x:top>
      <x:bottom style="thin">
        <x:color rgb="FFCBD3DC"/>
      </x:bottom>
    </x:border>
    <x:border>
      <x:left style="thin">
        <x:color rgb="FFCBD3DC"/>
      </x:left>
      <x:right style="thin">
        <x:color rgb="FFCBD3DC"/>
      </x:right>
      <x:top style="thin">
        <x:color rgb="FFCBD3DC"/>
      </x:top>
      <x:bottom style="thin">
        <x:color rgb="FFCBD3DC"/>
      </x:bottom>
    </x:border>
    <x:border>
      <x:left style="thin">
        <x:color rgb="FFCBD3DC"/>
      </x:left>
      <x:top style="thin">
        <x:color rgb="FFCBD3DC"/>
      </x:top>
      <x:bottom style="thin">
        <x:color rgb="FFCBD3DC"/>
      </x:bottom>
    </x:border>
    <x:border>
      <x:left style="thin">
        <x:color rgb="FFCBD3DC"/>
      </x:left>
      <x:right style="thin">
        <x:color rgb="FFCBD3DC"/>
      </x:right>
      <x:top style="thin">
        <x:color rgb="FFCBD3DC"/>
      </x:top>
    </x:border>
    <x:border>
      <x:top style="thin">
        <x:color rgb="FFCBD3DC"/>
      </x:top>
      <x:bottom style="thin">
        <x:color rgb="FFCBD3DC"/>
      </x:bottom>
    </x:border>
    <x:border>
      <x:left style="thin">
        <x:color rgb="FFCBD3DC"/>
      </x:left>
      <x:right style="thin">
        <x:color rgb="FFCBD3DC"/>
      </x:right>
    </x:border>
    <x:border>
      <x:left style="thin">
        <x:color rgb="FFCBD3DC"/>
      </x:left>
    </x:border>
    <x:border>
      <x:right style="thin">
        <x:color rgb="FFCBD3DC"/>
      </x:right>
    </x:border>
    <x:border>
      <x:left style="medium">
        <x:color rgb="FFA86400"/>
      </x:left>
      <x:top style="medium">
        <x:color rgb="FFA86400"/>
      </x:top>
      <x:bottom style="medium">
        <x:color rgb="FFA86400"/>
      </x:bottom>
    </x:border>
    <x:border>
      <x:right style="medium">
        <x:color rgb="FFA86400"/>
      </x:right>
      <x:top style="medium">
        <x:color rgb="FFA86400"/>
      </x:top>
      <x:bottom style="medium">
        <x:color rgb="FFA86400"/>
      </x:bottom>
    </x:border>
  </x:borders>
  <x:cellStyleXfs count="1">
    <x:xf numFmtId="0" fontId="0" fillId="0" borderId="0"/>
  </x:cellStyleXfs>
  <x:cellXfs count="3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200" fontId="4" fillId="5" borderId="5" xfId="0" applyNumberFormat="1" applyFont="1" applyFill="1" applyBorder="1" applyAlignment="1">
      <x:alignment horizontal="center" vertical="center" wrapText="1"/>
    </x:xf>
    <x:xf numFmtId="201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3" xfId="0" applyNumberFormat="1" applyFont="1" applyFill="1" applyBorder="1"/>
    <x:xf numFmtId="0" fontId="8" fillId="7" borderId="15" xfId="0" applyNumberFormat="1" applyFont="1" applyFill="1" applyBorder="1"/>
    <x:xf numFmtId="0" fontId="8" fillId="7" borderId="11" xfId="0" applyNumberFormat="1" applyFont="1" applyFill="1" applyBorder="1"/>
    <x:xf numFmtId="0" fontId="8" fillId="7" borderId="13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4" xfId="0" applyNumberFormat="1" applyFont="1" applyFill="1" applyBorder="1"/>
    <x:xf numFmtId="0" fontId="10" fillId="8" borderId="16" xfId="0" applyNumberFormat="1" applyFont="1" applyFill="1" applyBorder="1"/>
    <x:xf numFmtId="0" fontId="10" fillId="8" borderId="10" xfId="0" applyNumberFormat="1" applyFont="1" applyFill="1" applyBorder="1"/>
    <x:xf numFmtId="0" fontId="10" fillId="8" borderId="14" xfId="0" applyNumberFormat="1" applyFont="1" applyFill="1" applyBorder="1" applyAlignment="1">
      <x:alignment wrapText="1"/>
    </x:xf>
    <x:xf numFmtId="0" fontId="10" fillId="8" borderId="16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wrapText="1"/>
    </x:xf>
    <x:xf numFmtId="0" fontId="10" fillId="8" borderId="12" xfId="0" applyNumberFormat="1" applyFont="1" applyFill="1" applyBorder="1" applyAlignment="1">
      <x:alignment wrapText="1"/>
    </x:xf>
    <x:xf numFmtId="203" fontId="10" fillId="8" borderId="12" xfId="0" applyNumberFormat="1" applyFont="1" applyFill="1" applyBorder="1" applyAlignment="1">
      <x:alignment wrapText="1"/>
    </x:xf>
    <x:xf numFmtId="202" fontId="10" fillId="8" borderId="12" xfId="0" applyNumberFormat="1" applyFont="1" applyFill="1" applyBorder="1" applyAlignment="1">
      <x:alignment wrapText="1"/>
    </x:xf>
    <x:xf numFmtId="200" fontId="10" fillId="8" borderId="14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1" fillId="5" borderId="12" xfId="0" applyNumberFormat="1" applyFont="1" applyFill="1" applyBorder="1"/>
    <x:xf numFmtId="200" fontId="10" fillId="8" borderId="14" xfId="0" applyNumberFormat="1" applyFont="1" applyFill="1" applyBorder="1"/>
    <x:xf numFmtId="200" fontId="10" fillId="8" borderId="16" xfId="0" applyNumberFormat="1" applyFont="1" applyFill="1" applyBorder="1"/>
    <x:xf numFmtId="204" fontId="10" fillId="8" borderId="16" xfId="0" applyNumberFormat="1" applyFont="1" applyFill="1" applyBorder="1"/>
    <x:xf numFmtId="205" fontId="10" fillId="8" borderId="16" xfId="0" applyNumberFormat="1" applyFont="1" applyFill="1" applyBorder="1"/>
    <x:xf numFmtId="203" fontId="10" fillId="8" borderId="16" xfId="0" applyNumberFormat="1" applyFont="1" applyFill="1" applyBorder="1"/>
    <x:xf numFmtId="206" fontId="10" fillId="8" borderId="10" xfId="0" applyNumberFormat="1" applyFont="1" applyFill="1" applyBorder="1"/>
    <x:xf numFmtId="206" fontId="11" fillId="5" borderId="12" xfId="0" applyNumberFormat="1" applyFont="1" applyFill="1" applyBorder="1"/>
    <x:xf numFmtId="0" fontId="11" fillId="5" borderId="14" xfId="0" applyNumberFormat="1" applyFont="1" applyFill="1" applyBorder="1"/>
    <x:xf numFmtId="0" fontId="11" fillId="5" borderId="16" xfId="0" applyNumberFormat="1" applyFont="1" applyFill="1" applyBorder="1"/>
    <x:xf numFmtId="0" fontId="11" fillId="5" borderId="10" xfId="0" applyNumberFormat="1" applyFont="1" applyFill="1" applyBorder="1"/>
    <x:xf numFmtId="205" fontId="11" fillId="5" borderId="14" xfId="0" applyNumberFormat="1" applyFont="1" applyFill="1" applyBorder="1"/>
    <x:xf numFmtId="200" fontId="11" fillId="5" borderId="16" xfId="0" applyNumberFormat="1" applyFont="1" applyFill="1" applyBorder="1"/>
    <x:xf numFmtId="206" fontId="11" fillId="5" borderId="16" xfId="0" applyNumberFormat="1" applyFont="1" applyFill="1" applyBorder="1"/>
    <x:xf numFmtId="206" fontId="11" fillId="5" borderId="10" xfId="0" applyNumberFormat="1" applyFont="1" applyFill="1" applyBorder="1"/>
    <x:xf numFmtId="203" fontId="10" fillId="8" borderId="14" xfId="0" applyNumberFormat="1" applyFont="1" applyFill="1" applyBorder="1"/>
    <x:xf numFmtId="203" fontId="10" fillId="8" borderId="10" xfId="0" applyNumberFormat="1" applyFont="1" applyFill="1" applyBorder="1"/>
    <x:xf numFmtId="203" fontId="11" fillId="5" borderId="14" xfId="0" applyNumberFormat="1" applyFont="1" applyFill="1" applyBorder="1"/>
    <x:xf numFmtId="203" fontId="11" fillId="5" borderId="16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17" xfId="0" applyNumberFormat="1" applyFont="1" applyFill="1" applyBorder="1"/>
    <x:xf numFmtId="0" fontId="10" fillId="8" borderId="18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1" fillId="5" borderId="4" xfId="0" applyNumberFormat="1" applyFont="1" applyFill="1" applyBorder="1"/>
    <x:xf numFmtId="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6" xfId="0" applyNumberFormat="1" applyFont="1" applyFill="1" applyBorder="1"/>
    <x:xf numFmtId="0" fontId="12" fillId="9" borderId="17" xfId="0" applyNumberFormat="1" applyFont="1" applyFill="1" applyBorder="1"/>
    <x:xf numFmtId="0" fontId="12" fillId="9" borderId="18" xfId="0" applyNumberFormat="1" applyFont="1" applyFill="1" applyBorder="1"/>
    <x:xf numFmtId="0" fontId="12" fillId="9" borderId="7" xfId="0" applyNumberFormat="1" applyFont="1" applyFill="1" applyBorder="1"/>
    <x:xf numFmtId="0" fontId="12" fillId="9" borderId="9" xfId="0" applyNumberFormat="1" applyFont="1" applyFill="1" applyBorder="1"/>
    <x:xf numFmtId="202" fontId="10" fillId="8" borderId="4" xfId="0" applyNumberFormat="1" applyFont="1" applyFill="1" applyBorder="1"/>
    <x:xf numFmtId="202" fontId="10" fillId="8" borderId="17" xfId="0" applyNumberFormat="1" applyFont="1" applyFill="1" applyBorder="1"/>
    <x:xf numFmtId="202" fontId="10" fillId="8" borderId="7" xfId="0" applyNumberFormat="1" applyFont="1" applyFill="1" applyBorder="1"/>
    <x:xf numFmtId="203" fontId="10" fillId="8" borderId="5" xfId="0" applyNumberFormat="1" applyFont="1" applyFill="1" applyBorder="1"/>
    <x:xf numFmtId="203" fontId="10" fillId="8" borderId="6" xfId="0" applyNumberFormat="1" applyFont="1" applyFill="1" applyBorder="1"/>
    <x:xf numFmtId="203" fontId="10" fillId="8" borderId="4" xfId="0" applyNumberFormat="1" applyFont="1" applyFill="1" applyBorder="1"/>
    <x:xf numFmtId="203" fontId="12" fillId="9" borderId="4" xfId="0" applyNumberFormat="1" applyFont="1" applyFill="1" applyBorder="1"/>
    <x:xf numFmtId="203" fontId="12" fillId="9" borderId="6" xfId="0" applyNumberFormat="1" applyFont="1" applyFill="1" applyBorder="1"/>
    <x:xf numFmtId="203" fontId="11" fillId="5" borderId="4" xfId="0" applyNumberFormat="1" applyFont="1" applyFill="1" applyBorder="1"/>
    <x:xf numFmtId="203" fontId="11" fillId="5" borderId="5" xfId="0" applyNumberFormat="1" applyFont="1" applyFill="1" applyBorder="1"/>
    <x:xf numFmtId="203" fontId="10" fillId="8" borderId="0" xfId="0" applyNumberFormat="1" applyFont="1" applyFill="1" applyBorder="1"/>
    <x:xf numFmtId="203" fontId="10" fillId="8" borderId="18" xfId="0" applyNumberFormat="1" applyFont="1" applyFill="1" applyBorder="1"/>
    <x:xf numFmtId="203" fontId="10" fillId="8" borderId="17" xfId="0" applyNumberFormat="1" applyFont="1" applyFill="1" applyBorder="1"/>
    <x:xf numFmtId="203" fontId="12" fillId="9" borderId="17" xfId="0" applyNumberFormat="1" applyFont="1" applyFill="1" applyBorder="1"/>
    <x:xf numFmtId="203" fontId="12" fillId="9" borderId="18" xfId="0" applyNumberFormat="1" applyFont="1" applyFill="1" applyBorder="1"/>
    <x:xf numFmtId="203" fontId="11" fillId="5" borderId="17" xfId="0" applyNumberFormat="1" applyFont="1" applyFill="1" applyBorder="1"/>
    <x:xf numFmtId="203" fontId="11" fillId="5" borderId="0" xfId="0" applyNumberFormat="1" applyFont="1" applyFill="1" applyBorder="1"/>
    <x:xf numFmtId="203" fontId="10" fillId="8" borderId="8" xfId="0" applyNumberFormat="1" applyFont="1" applyFill="1" applyBorder="1"/>
    <x:xf numFmtId="203" fontId="10" fillId="8" borderId="9" xfId="0" applyNumberFormat="1" applyFont="1" applyFill="1" applyBorder="1"/>
    <x:xf numFmtId="203" fontId="11" fillId="5" borderId="10" xfId="0" applyNumberFormat="1" applyFont="1" applyFill="1" applyBorder="1"/>
    <x:xf numFmtId="203" fontId="10" fillId="8" borderId="7" xfId="0" applyNumberFormat="1" applyFont="1" applyFill="1" applyBorder="1"/>
    <x:xf numFmtId="203" fontId="12" fillId="9" borderId="7" xfId="0" applyNumberFormat="1" applyFont="1" applyFill="1" applyBorder="1"/>
    <x:xf numFmtId="203" fontId="12" fillId="9" borderId="9" xfId="0" applyNumberFormat="1" applyFont="1" applyFill="1" applyBorder="1"/>
    <x:xf numFmtId="203" fontId="11" fillId="5" borderId="7" xfId="0" applyNumberFormat="1" applyFont="1" applyFill="1" applyBorder="1"/>
    <x:xf numFmtId="203" fontId="11" fillId="5" borderId="8" xfId="0" applyNumberFormat="1" applyFont="1" applyFill="1" applyBorder="1"/>
    <x:xf numFmtId="202" fontId="10" fillId="8" borderId="5" xfId="0" applyNumberFormat="1" applyFont="1" applyFill="1" applyBorder="1"/>
    <x:xf numFmtId="202" fontId="10" fillId="8" borderId="0" xfId="0" applyNumberFormat="1" applyFont="1" applyFill="1" applyBorder="1"/>
    <x:xf numFmtId="202" fontId="10" fillId="8" borderId="8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1" fillId="5" borderId="16" xfId="0" applyNumberFormat="1" applyFont="1" applyFill="1" applyBorder="1" applyAlignment="1">
      <x:alignment horizontal="center"/>
    </x:xf>
    <x:xf numFmtId="0" fontId="11" fillId="5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11" fillId="5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0" fontId="13" fillId="3" borderId="19" xfId="0" applyNumberFormat="1" applyFont="1" applyFill="1" applyBorder="1"/>
    <x:xf numFmtId="0" fontId="13" fillId="3" borderId="2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1" xfId="0" applyNumberFormat="1" applyFont="1" applyFill="1" applyBorder="1" applyAlignment="1">
      <x:alignment vertical="center" wrapText="1"/>
    </x:xf>
    <x:xf numFmtId="0" fontId="15" fillId="3" borderId="2" xfId="0" applyNumberFormat="1" applyFont="1" applyFill="1" applyBorder="1" applyAlignment="1">
      <x:alignment vertical="center" wrapText="1"/>
    </x:xf>
    <x:xf numFmtId="0" fontId="15" fillId="3" borderId="3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7" fillId="4" borderId="0" xfId="0" applyNumberFormat="1" applyFont="1" applyFill="1" applyBorder="1" applyAlignment="1">
      <x:alignment vertical="center" wrapText="1"/>
    </x:xf>
    <x:xf numFmtId="0" fontId="18" fillId="5" borderId="4" xfId="0" applyNumberFormat="1" applyFont="1" applyFill="1" applyBorder="1" applyAlignment="1">
      <x:alignment horizontal="center" vertical="center" wrapText="1"/>
    </x:xf>
    <x:xf numFmtId="0" fontId="18" fillId="5" borderId="5" xfId="0" applyNumberFormat="1" applyFont="1" applyFill="1" applyBorder="1" applyAlignment="1">
      <x:alignment horizontal="center" vertical="center" wrapText="1"/>
    </x:xf>
    <x:xf numFmtId="200" fontId="18" fillId="5" borderId="5" xfId="0" applyNumberFormat="1" applyFont="1" applyFill="1" applyBorder="1" applyAlignment="1">
      <x:alignment horizontal="center" vertical="center" wrapText="1"/>
    </x:xf>
    <x:xf numFmtId="201" fontId="18" fillId="5" borderId="5" xfId="0" applyNumberFormat="1" applyFont="1" applyFill="1" applyBorder="1" applyAlignment="1">
      <x:alignment horizontal="center" vertical="center" wrapText="1"/>
    </x:xf>
    <x:xf numFmtId="0" fontId="19" fillId="5" borderId="5" xfId="0" applyNumberFormat="1" applyFont="1" applyFill="1" applyBorder="1" applyAlignment="1">
      <x:alignment horizontal="center" vertical="center" wrapText="1"/>
    </x:xf>
    <x:xf numFmtId="0" fontId="18" fillId="5" borderId="6" xfId="0" applyNumberFormat="1" applyFont="1" applyFill="1" applyBorder="1" applyAlignment="1">
      <x:alignment horizontal="center" vertical="center" wrapText="1"/>
    </x:xf>
    <x:xf numFmtId="0" fontId="18" fillId="5" borderId="7" xfId="0" applyNumberFormat="1" applyFont="1" applyFill="1" applyBorder="1" applyAlignment="1">
      <x:alignment horizontal="center" vertical="center" wrapText="1"/>
    </x:xf>
    <x:xf numFmtId="0" fontId="18" fillId="5" borderId="8" xfId="0" applyNumberFormat="1" applyFont="1" applyFill="1" applyBorder="1" applyAlignment="1">
      <x:alignment horizontal="center" vertical="center" wrapText="1"/>
    </x:xf>
    <x:xf numFmtId="0" fontId="18" fillId="5" borderId="9" xfId="0" applyNumberFormat="1" applyFont="1" applyFill="1" applyBorder="1" applyAlignment="1">
      <x:alignment horizontal="center" vertical="center" wrapText="1"/>
    </x:xf>
    <x:xf numFmtId="0" fontId="20" fillId="6" borderId="0" xfId="0" applyNumberFormat="1" applyFont="1" applyFill="1" applyBorder="1" applyAlignment="1">
      <x:alignment vertical="center"/>
    </x:xf>
    <x:xf numFmtId="0" fontId="16" fillId="0" borderId="9" xfId="0" applyNumberFormat="1" applyFont="1" applyFill="1" applyBorder="1" applyAlignment="1">
      <x:alignment wrapText="1"/>
    </x:xf>
    <x:xf numFmtId="0" fontId="21" fillId="0" borderId="10" xfId="0" applyNumberFormat="1" applyFont="1" applyFill="1" applyBorder="1" applyAlignment="1">
      <x:alignment wrapText="1"/>
    </x:xf>
    <x:xf numFmtId="0" fontId="16" fillId="0" borderId="10" xfId="0" applyNumberFormat="1" applyFont="1" applyFill="1" applyBorder="1" applyAlignment="1">
      <x:alignment wrapText="1"/>
    </x:xf>
    <x:xf numFmtId="0" fontId="16" fillId="0" borderId="7" xfId="0" applyNumberFormat="1" applyFont="1" applyFill="1" applyBorder="1" applyAlignment="1">
      <x:alignment wrapText="1"/>
    </x:xf>
    <x:xf numFmtId="0" fontId="16" fillId="0" borderId="11" xfId="0" applyNumberFormat="1" applyFont="1" applyFill="1" applyBorder="1" applyAlignment="1">
      <x:alignment wrapText="1"/>
    </x:xf>
    <x:xf numFmtId="0" fontId="21" fillId="0" borderId="12" xfId="0" applyNumberFormat="1" applyFont="1" applyFill="1" applyBorder="1" applyAlignment="1">
      <x:alignment wrapText="1"/>
    </x:xf>
    <x:xf numFmtId="0" fontId="16" fillId="0" borderId="12" xfId="0" applyNumberFormat="1" applyFont="1" applyFill="1" applyBorder="1" applyAlignment="1">
      <x:alignment wrapText="1"/>
    </x:xf>
    <x:xf numFmtId="0" fontId="16" fillId="0" borderId="13" xfId="0" applyNumberFormat="1" applyFont="1" applyFill="1" applyBorder="1" applyAlignment="1">
      <x:alignment wrapText="1"/>
    </x:xf>
    <x:xf numFmtId="0" fontId="16" fillId="0" borderId="6" xfId="0" applyNumberFormat="1" applyFont="1" applyFill="1" applyBorder="1" applyAlignment="1">
      <x:alignment wrapText="1"/>
    </x:xf>
    <x:xf numFmtId="0" fontId="21" fillId="0" borderId="14" xfId="0" applyNumberFormat="1" applyFont="1" applyFill="1" applyBorder="1" applyAlignment="1">
      <x:alignment wrapText="1"/>
    </x:xf>
    <x:xf numFmtId="0" fontId="16" fillId="0" borderId="14" xfId="0" applyNumberFormat="1" applyFont="1" applyFill="1" applyBorder="1" applyAlignment="1">
      <x:alignment wrapText="1"/>
    </x:xf>
    <x:xf numFmtId="0" fontId="16" fillId="0" borderId="4" xfId="0" applyNumberFormat="1" applyFont="1" applyFill="1" applyBorder="1" applyAlignment="1">
      <x:alignment wrapText="1"/>
    </x:xf>
    <x:xf numFmtId="0" fontId="22" fillId="7" borderId="13" xfId="0" applyNumberFormat="1" applyFont="1" applyFill="1" applyBorder="1" applyAlignment="1">
      <x:alignment vertical="center" wrapText="1"/>
    </x:xf>
    <x:xf numFmtId="0" fontId="22" fillId="7" borderId="15" xfId="0" applyNumberFormat="1" applyFont="1" applyFill="1" applyBorder="1" applyAlignment="1">
      <x:alignment vertical="center" wrapText="1"/>
    </x:xf>
    <x:xf numFmtId="0" fontId="22" fillId="7" borderId="11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202" fontId="16" fillId="0" borderId="7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center" wrapText="1"/>
    </x:xf>
    <x:xf numFmtId="0" fontId="16" fillId="0" borderId="12" xfId="0" applyNumberFormat="1" applyFont="1" applyFill="1" applyBorder="1" applyAlignment="1">
      <x:alignment vertical="center" wrapText="1"/>
    </x:xf>
    <x:xf numFmtId="202" fontId="16" fillId="0" borderId="13" xfId="0" applyNumberFormat="1" applyFont="1" applyFill="1" applyBorder="1" applyAlignment="1">
      <x:alignment vertical="center" wrapText="1"/>
    </x:xf>
    <x:xf numFmtId="0" fontId="16" fillId="0" borderId="6" xfId="0" applyNumberFormat="1" applyFont="1" applyFill="1" applyBorder="1" applyAlignment="1">
      <x:alignment vertical="center" wrapText="1"/>
    </x:xf>
    <x:xf numFmtId="0" fontId="16" fillId="0" borderId="14" xfId="0" applyNumberFormat="1" applyFont="1" applyFill="1" applyBorder="1" applyAlignment="1">
      <x:alignment vertical="center" wrapText="1"/>
    </x:xf>
    <x:xf numFmtId="202" fontId="16" fillId="0" borderId="4" xfId="0" applyNumberFormat="1" applyFont="1" applyFill="1" applyBorder="1" applyAlignment="1">
      <x:alignment vertical="center" wrapText="1"/>
    </x:xf>
    <x:xf numFmtId="0" fontId="23" fillId="4" borderId="0" xfId="0" applyNumberFormat="1" applyFont="1" applyFill="1" applyBorder="1" applyAlignment="1">
      <x:alignment horizontal="center"/>
    </x:xf>
    <x:xf numFmtId="0" fontId="24" fillId="8" borderId="10" xfId="0" applyNumberFormat="1" applyFont="1" applyFill="1" applyBorder="1" applyAlignment="1">
      <x:alignment wrapText="1"/>
    </x:xf>
    <x:xf numFmtId="0" fontId="24" fillId="8" borderId="12" xfId="0" applyNumberFormat="1" applyFont="1" applyFill="1" applyBorder="1" applyAlignment="1">
      <x:alignment wrapText="1"/>
    </x:xf>
    <x:xf numFmtId="203" fontId="24" fillId="8" borderId="12" xfId="0" applyNumberFormat="1" applyFont="1" applyFill="1" applyBorder="1" applyAlignment="1">
      <x:alignment wrapText="1"/>
    </x:xf>
    <x:xf numFmtId="202" fontId="24" fillId="8" borderId="12" xfId="0" applyNumberFormat="1" applyFont="1" applyFill="1" applyBorder="1" applyAlignment="1">
      <x:alignment wrapText="1"/>
    </x:xf>
    <x:xf numFmtId="200" fontId="24" fillId="8" borderId="14" xfId="0" applyNumberFormat="1" applyFont="1" applyFill="1" applyBorder="1" applyAlignment="1">
      <x:alignment wrapText="1"/>
    </x:xf>
    <x:xf numFmtId="200" fontId="24" fillId="8" borderId="14" xfId="0" applyNumberFormat="1" applyFont="1" applyFill="1" applyBorder="1"/>
    <x:xf numFmtId="200" fontId="24" fillId="8" borderId="16" xfId="0" applyNumberFormat="1" applyFont="1" applyFill="1" applyBorder="1"/>
    <x:xf numFmtId="204" fontId="24" fillId="8" borderId="16" xfId="0" applyNumberFormat="1" applyFont="1" applyFill="1" applyBorder="1"/>
    <x:xf numFmtId="205" fontId="24" fillId="8" borderId="16" xfId="0" applyNumberFormat="1" applyFont="1" applyFill="1" applyBorder="1"/>
    <x:xf numFmtId="0" fontId="24" fillId="8" borderId="16" xfId="0" applyNumberFormat="1" applyFont="1" applyFill="1" applyBorder="1"/>
    <x:xf numFmtId="203" fontId="24" fillId="8" borderId="16" xfId="0" applyNumberFormat="1" applyFont="1" applyFill="1" applyBorder="1"/>
    <x:xf numFmtId="206" fontId="24" fillId="8" borderId="10" xfId="0" applyNumberFormat="1" applyFont="1" applyFill="1" applyBorder="1"/>
    <x:xf numFmtId="206" fontId="25" fillId="5" borderId="12" xfId="0" applyNumberFormat="1" applyFont="1" applyFill="1" applyBorder="1"/>
    <x:xf numFmtId="205" fontId="25" fillId="5" borderId="14" xfId="0" applyNumberFormat="1" applyFont="1" applyFill="1" applyBorder="1"/>
    <x:xf numFmtId="200" fontId="25" fillId="5" borderId="16" xfId="0" applyNumberFormat="1" applyFont="1" applyFill="1" applyBorder="1"/>
    <x:xf numFmtId="206" fontId="25" fillId="5" borderId="16" xfId="0" applyNumberFormat="1" applyFont="1" applyFill="1" applyBorder="1"/>
    <x:xf numFmtId="206" fontId="25" fillId="5" borderId="10" xfId="0" applyNumberFormat="1" applyFont="1" applyFill="1" applyBorder="1"/>
    <x:xf numFmtId="203" fontId="24" fillId="8" borderId="14" xfId="0" applyNumberFormat="1" applyFont="1" applyFill="1" applyBorder="1"/>
    <x:xf numFmtId="203" fontId="24" fillId="8" borderId="10" xfId="0" applyNumberFormat="1" applyFont="1" applyFill="1" applyBorder="1"/>
    <x:xf numFmtId="203" fontId="25" fillId="5" borderId="14" xfId="0" applyNumberFormat="1" applyFont="1" applyFill="1" applyBorder="1"/>
    <x:xf numFmtId="203" fontId="25" fillId="5" borderId="16" xfId="0" applyNumberFormat="1" applyFont="1" applyFill="1" applyBorder="1"/>
    <x:xf numFmtId="0" fontId="25" fillId="5" borderId="16" xfId="0" applyNumberFormat="1" applyFont="1" applyFill="1" applyBorder="1"/>
    <x:xf numFmtId="0" fontId="25" fillId="5" borderId="10" xfId="0" applyNumberFormat="1" applyFont="1" applyFill="1" applyBorder="1"/>
    <x:xf numFmtId="0" fontId="20" fillId="6" borderId="0" xfId="0" applyNumberFormat="1" applyFont="1" applyFill="1" applyBorder="1" applyAlignment="1">
      <x:alignment horizontal="center"/>
    </x:xf>
    <x:xf numFmtId="0" fontId="25" fillId="5" borderId="14" xfId="0" applyNumberFormat="1" applyFont="1" applyFill="1" applyBorder="1"/>
    <x:xf numFmtId="202" fontId="24" fillId="8" borderId="4" xfId="0" applyNumberFormat="1" applyFont="1" applyFill="1" applyBorder="1"/>
    <x:xf numFmtId="0" fontId="24" fillId="8" borderId="5" xfId="0" applyNumberFormat="1" applyFont="1" applyFill="1" applyBorder="1"/>
    <x:xf numFmtId="203" fontId="24" fillId="8" borderId="5" xfId="0" applyNumberFormat="1" applyFont="1" applyFill="1" applyBorder="1"/>
    <x:xf numFmtId="203" fontId="24" fillId="8" borderId="6" xfId="0" applyNumberFormat="1" applyFont="1" applyFill="1" applyBorder="1"/>
    <x:xf numFmtId="203" fontId="24" fillId="8" borderId="4" xfId="0" applyNumberFormat="1" applyFont="1" applyFill="1" applyBorder="1"/>
    <x:xf numFmtId="203" fontId="26" fillId="9" borderId="4" xfId="0" applyNumberFormat="1" applyFont="1" applyFill="1" applyBorder="1"/>
    <x:xf numFmtId="203" fontId="26" fillId="9" borderId="6" xfId="0" applyNumberFormat="1" applyFont="1" applyFill="1" applyBorder="1"/>
    <x:xf numFmtId="203" fontId="25" fillId="5" borderId="4" xfId="0" applyNumberFormat="1" applyFont="1" applyFill="1" applyBorder="1"/>
    <x:xf numFmtId="203" fontId="25" fillId="5" borderId="5" xfId="0" applyNumberFormat="1" applyFont="1" applyFill="1" applyBorder="1"/>
    <x:xf numFmtId="0" fontId="25" fillId="5" borderId="6" xfId="0" applyNumberFormat="1" applyFont="1" applyFill="1" applyBorder="1"/>
    <x:xf numFmtId="0" fontId="24" fillId="8" borderId="4" xfId="0" applyNumberFormat="1" applyFont="1" applyFill="1" applyBorder="1"/>
    <x:xf numFmtId="0" fontId="24" fillId="8" borderId="6" xfId="0" applyNumberFormat="1" applyFont="1" applyFill="1" applyBorder="1"/>
    <x:xf numFmtId="202" fontId="24" fillId="8" borderId="17" xfId="0" applyNumberFormat="1" applyFont="1" applyFill="1" applyBorder="1"/>
    <x:xf numFmtId="0" fontId="24" fillId="8" borderId="0" xfId="0" applyNumberFormat="1" applyFont="1" applyFill="1" applyBorder="1"/>
    <x:xf numFmtId="203" fontId="24" fillId="8" borderId="0" xfId="0" applyNumberFormat="1" applyFont="1" applyFill="1" applyBorder="1"/>
    <x:xf numFmtId="203" fontId="24" fillId="8" borderId="18" xfId="0" applyNumberFormat="1" applyFont="1" applyFill="1" applyBorder="1"/>
    <x:xf numFmtId="203" fontId="24" fillId="8" borderId="17" xfId="0" applyNumberFormat="1" applyFont="1" applyFill="1" applyBorder="1"/>
    <x:xf numFmtId="203" fontId="26" fillId="9" borderId="17" xfId="0" applyNumberFormat="1" applyFont="1" applyFill="1" applyBorder="1"/>
    <x:xf numFmtId="203" fontId="26" fillId="9" borderId="18" xfId="0" applyNumberFormat="1" applyFont="1" applyFill="1" applyBorder="1"/>
    <x:xf numFmtId="203" fontId="25" fillId="5" borderId="17" xfId="0" applyNumberFormat="1" applyFont="1" applyFill="1" applyBorder="1"/>
    <x:xf numFmtId="203" fontId="25" fillId="5" borderId="0" xfId="0" applyNumberFormat="1" applyFont="1" applyFill="1" applyBorder="1"/>
    <x:xf numFmtId="0" fontId="25" fillId="5" borderId="18" xfId="0" applyNumberFormat="1" applyFont="1" applyFill="1" applyBorder="1"/>
    <x:xf numFmtId="0" fontId="24" fillId="8" borderId="17" xfId="0" applyNumberFormat="1" applyFont="1" applyFill="1" applyBorder="1"/>
    <x:xf numFmtId="0" fontId="24" fillId="8" borderId="18" xfId="0" applyNumberFormat="1" applyFont="1" applyFill="1" applyBorder="1"/>
    <x:xf numFmtId="202" fontId="24" fillId="8" borderId="7" xfId="0" applyNumberFormat="1" applyFont="1" applyFill="1" applyBorder="1"/>
    <x:xf numFmtId="0" fontId="24" fillId="8" borderId="8" xfId="0" applyNumberFormat="1" applyFont="1" applyFill="1" applyBorder="1"/>
    <x:xf numFmtId="203" fontId="24" fillId="8" borderId="8" xfId="0" applyNumberFormat="1" applyFont="1" applyFill="1" applyBorder="1"/>
    <x:xf numFmtId="203" fontId="24" fillId="8" borderId="9" xfId="0" applyNumberFormat="1" applyFont="1" applyFill="1" applyBorder="1"/>
    <x:xf numFmtId="203" fontId="25" fillId="5" borderId="10" xfId="0" applyNumberFormat="1" applyFont="1" applyFill="1" applyBorder="1"/>
    <x:xf numFmtId="203" fontId="24" fillId="8" borderId="7" xfId="0" applyNumberFormat="1" applyFont="1" applyFill="1" applyBorder="1"/>
    <x:xf numFmtId="203" fontId="26" fillId="9" borderId="7" xfId="0" applyNumberFormat="1" applyFont="1" applyFill="1" applyBorder="1"/>
    <x:xf numFmtId="203" fontId="26" fillId="9" borderId="9" xfId="0" applyNumberFormat="1" applyFont="1" applyFill="1" applyBorder="1"/>
    <x:xf numFmtId="203" fontId="25" fillId="5" borderId="7" xfId="0" applyNumberFormat="1" applyFont="1" applyFill="1" applyBorder="1"/>
    <x:xf numFmtId="203" fontId="25" fillId="5" borderId="8" xfId="0" applyNumberFormat="1" applyFont="1" applyFill="1" applyBorder="1"/>
    <x:xf numFmtId="0" fontId="25" fillId="5" borderId="9" xfId="0" applyNumberFormat="1" applyFont="1" applyFill="1" applyBorder="1"/>
    <x:xf numFmtId="0" fontId="24" fillId="8" borderId="7" xfId="0" applyNumberFormat="1" applyFont="1" applyFill="1" applyBorder="1"/>
    <x:xf numFmtId="0" fontId="24" fillId="8" borderId="9" xfId="0" applyNumberFormat="1" applyFont="1" applyFill="1" applyBorder="1"/>
    <x:xf numFmtId="202" fontId="24" fillId="8" borderId="5" xfId="0" applyNumberFormat="1" applyFont="1" applyFill="1" applyBorder="1"/>
    <x:xf numFmtId="202" fontId="24" fillId="8" borderId="0" xfId="0" applyNumberFormat="1" applyFont="1" applyFill="1" applyBorder="1"/>
    <x:xf numFmtId="202" fontId="24" fillId="8" borderId="8" xfId="0" applyNumberFormat="1" applyFont="1" applyFill="1" applyBorder="1"/>
    <x:xf numFmtId="202" fontId="16" fillId="0" borderId="10" xfId="0" applyNumberFormat="1" applyFont="1" applyFill="1" applyBorder="1" applyAlignment="1">
      <x:alignment wrapText="1"/>
    </x:xf>
    <x:xf numFmtId="202" fontId="16" fillId="0" borderId="12" xfId="0" applyNumberFormat="1" applyFont="1" applyFill="1" applyBorder="1" applyAlignment="1">
      <x:alignment wrapText="1"/>
    </x:xf>
    <x:xf numFmtId="202" fontId="16" fillId="0" borderId="14" xfId="0" applyNumberFormat="1" applyFont="1" applyFill="1" applyBorder="1" applyAlignment="1">
      <x:alignment wrapText="1"/>
    </x:xf>
    <x:xf numFmtId="0" fontId="16" fillId="0" borderId="9" xfId="0" applyNumberFormat="1" applyFont="1" applyFill="1" applyBorder="1"/>
    <x:xf numFmtId="0" fontId="25" fillId="5" borderId="10" xfId="0" applyNumberFormat="1" applyFont="1" applyFill="1" applyBorder="1" applyAlignment="1">
      <x:alignment horizontal="center"/>
    </x:xf>
    <x:xf numFmtId="0" fontId="16" fillId="0" borderId="10" xfId="0" applyNumberFormat="1" applyFont="1" applyFill="1" applyBorder="1" applyAlignment="1">
      <x:alignment horizontal="center"/>
    </x:xf>
    <x:xf numFmtId="0" fontId="16" fillId="0" borderId="7" xfId="0" applyNumberFormat="1" applyFont="1" applyFill="1" applyBorder="1"/>
    <x:xf numFmtId="0" fontId="16" fillId="0" borderId="11" xfId="0" applyNumberFormat="1" applyFont="1" applyFill="1" applyBorder="1"/>
    <x:xf numFmtId="0" fontId="25" fillId="5" borderId="12" xfId="0" applyNumberFormat="1" applyFont="1" applyFill="1" applyBorder="1" applyAlignment="1">
      <x:alignment horizontal="center"/>
    </x:xf>
    <x:xf numFmtId="0" fontId="16" fillId="0" borderId="12" xfId="0" applyNumberFormat="1" applyFont="1" applyFill="1" applyBorder="1" applyAlignment="1">
      <x:alignment horizontal="center"/>
    </x:xf>
    <x:xf numFmtId="0" fontId="16" fillId="0" borderId="13" xfId="0" applyNumberFormat="1" applyFont="1" applyFill="1" applyBorder="1"/>
    <x:xf numFmtId="0" fontId="16" fillId="0" borderId="6" xfId="0" applyNumberFormat="1" applyFont="1" applyFill="1" applyBorder="1"/>
    <x:xf numFmtId="0" fontId="25" fillId="5" borderId="14" xfId="0" applyNumberFormat="1" applyFont="1" applyFill="1" applyBorder="1" applyAlignment="1">
      <x:alignment horizontal="center"/>
    </x:xf>
    <x:xf numFmtId="0" fontId="16" fillId="0" borderId="14" xfId="0" applyNumberFormat="1" applyFont="1" applyFill="1" applyBorder="1" applyAlignment="1">
      <x:alignment horizontal="center"/>
    </x:xf>
    <x:xf numFmtId="0" fontId="16" fillId="0" borderId="4" xfId="0" applyNumberFormat="1" applyFont="1" applyFill="1" applyBorder="1"/>
    <x:xf numFmtId="0" fontId="27" fillId="3" borderId="19" xfId="0" applyNumberFormat="1" applyFont="1" applyFill="1" applyBorder="1"/>
    <x:xf numFmtId="0" fontId="27" fillId="3" borderId="2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200" fontId="24" fillId="8" borderId="16" xfId="0" applyNumberFormat="1" applyFont="1" applyFill="1" applyBorder="1" applyAlignment="1">
      <x:alignment wrapText="1"/>
    </x:xf>
    <x:xf numFmtId="204" fontId="24" fillId="8" borderId="16" xfId="0" applyNumberFormat="1" applyFont="1" applyFill="1" applyBorder="1" applyAlignment="1">
      <x:alignment wrapText="1"/>
    </x:xf>
    <x:xf numFmtId="205" fontId="24" fillId="8" borderId="16" xfId="0" applyNumberFormat="1" applyFont="1" applyFill="1" applyBorder="1" applyAlignment="1">
      <x:alignment wrapText="1"/>
    </x:xf>
    <x:xf numFmtId="0" fontId="24" fillId="8" borderId="16" xfId="0" applyNumberFormat="1" applyFont="1" applyFill="1" applyBorder="1" applyAlignment="1">
      <x:alignment wrapText="1"/>
    </x:xf>
    <x:xf numFmtId="203" fontId="24" fillId="8" borderId="16" xfId="0" applyNumberFormat="1" applyFont="1" applyFill="1" applyBorder="1" applyAlignment="1">
      <x:alignment wrapText="1"/>
    </x:xf>
    <x:xf numFmtId="206" fontId="24" fillId="8" borderId="10" xfId="0" applyNumberFormat="1" applyFont="1" applyFill="1" applyBorder="1" applyAlignment="1">
      <x:alignment wrapText="1"/>
    </x:xf>
    <x:xf numFmtId="206" fontId="25" fillId="5" borderId="12" xfId="0" applyNumberFormat="1" applyFont="1" applyFill="1" applyBorder="1" applyAlignment="1">
      <x:alignment wrapText="1"/>
    </x:xf>
    <x:xf numFmtId="0" fontId="20" fillId="6" borderId="0" xfId="0" applyNumberFormat="1" applyFont="1" applyFill="1" applyBorder="1" applyAlignment="1">
      <x:alignment vertical="center" wrapText="1"/>
    </x:xf>
    <x:xf numFmtId="205" fontId="25" fillId="5" borderId="14" xfId="0" applyNumberFormat="1" applyFont="1" applyFill="1" applyBorder="1" applyAlignment="1">
      <x:alignment wrapText="1"/>
    </x:xf>
    <x:xf numFmtId="200" fontId="25" fillId="5" borderId="16" xfId="0" applyNumberFormat="1" applyFont="1" applyFill="1" applyBorder="1" applyAlignment="1">
      <x:alignment wrapText="1"/>
    </x:xf>
    <x:xf numFmtId="206" fontId="25" fillId="5" borderId="16" xfId="0" applyNumberFormat="1" applyFont="1" applyFill="1" applyBorder="1" applyAlignment="1">
      <x:alignment wrapText="1"/>
    </x:xf>
    <x:xf numFmtId="206" fontId="25" fillId="5" borderId="10" xfId="0" applyNumberFormat="1" applyFont="1" applyFill="1" applyBorder="1" applyAlignment="1">
      <x:alignment wrapText="1"/>
    </x:xf>
    <x:xf numFmtId="203" fontId="24" fillId="8" borderId="14" xfId="0" applyNumberFormat="1" applyFont="1" applyFill="1" applyBorder="1" applyAlignment="1">
      <x:alignment wrapText="1"/>
    </x:xf>
    <x:xf numFmtId="203" fontId="24" fillId="8" borderId="10" xfId="0" applyNumberFormat="1" applyFont="1" applyFill="1" applyBorder="1" applyAlignment="1">
      <x:alignment wrapText="1"/>
    </x:xf>
    <x:xf numFmtId="203" fontId="25" fillId="5" borderId="14" xfId="0" applyNumberFormat="1" applyFont="1" applyFill="1" applyBorder="1" applyAlignment="1">
      <x:alignment wrapText="1"/>
    </x:xf>
    <x:xf numFmtId="203" fontId="25" fillId="5" borderId="16" xfId="0" applyNumberFormat="1" applyFont="1" applyFill="1" applyBorder="1" applyAlignment="1">
      <x:alignment wrapText="1"/>
    </x:xf>
    <x:xf numFmtId="0" fontId="25" fillId="5" borderId="16" xfId="0" applyNumberFormat="1" applyFont="1" applyFill="1" applyBorder="1" applyAlignment="1">
      <x:alignment wrapText="1"/>
    </x:xf>
    <x:xf numFmtId="0" fontId="25" fillId="5" borderId="10" xfId="0" applyNumberFormat="1" applyFont="1" applyFill="1" applyBorder="1" applyAlignment="1">
      <x:alignment wrapText="1"/>
    </x:xf>
    <x:xf numFmtId="0" fontId="25" fillId="5" borderId="14" xfId="0" applyNumberFormat="1" applyFont="1" applyFill="1" applyBorder="1" applyAlignment="1">
      <x:alignment wrapText="1"/>
    </x:xf>
    <x:xf numFmtId="202" fontId="24" fillId="8" borderId="4" xfId="0" applyNumberFormat="1" applyFont="1" applyFill="1" applyBorder="1" applyAlignment="1">
      <x:alignment wrapText="1"/>
    </x:xf>
    <x:xf numFmtId="0" fontId="24" fillId="8" borderId="5" xfId="0" applyNumberFormat="1" applyFont="1" applyFill="1" applyBorder="1" applyAlignment="1">
      <x:alignment wrapText="1"/>
    </x:xf>
    <x:xf numFmtId="203" fontId="24" fillId="8" borderId="5" xfId="0" applyNumberFormat="1" applyFont="1" applyFill="1" applyBorder="1" applyAlignment="1">
      <x:alignment wrapText="1"/>
    </x:xf>
    <x:xf numFmtId="203" fontId="24" fillId="8" borderId="6" xfId="0" applyNumberFormat="1" applyFont="1" applyFill="1" applyBorder="1" applyAlignment="1">
      <x:alignment wrapText="1"/>
    </x:xf>
    <x:xf numFmtId="203" fontId="24" fillId="8" borderId="4" xfId="0" applyNumberFormat="1" applyFont="1" applyFill="1" applyBorder="1" applyAlignment="1">
      <x:alignment wrapText="1"/>
    </x:xf>
    <x:xf numFmtId="203" fontId="26" fillId="9" borderId="4" xfId="0" applyNumberFormat="1" applyFont="1" applyFill="1" applyBorder="1" applyAlignment="1">
      <x:alignment wrapText="1"/>
    </x:xf>
    <x:xf numFmtId="203" fontId="26" fillId="9" borderId="6" xfId="0" applyNumberFormat="1" applyFont="1" applyFill="1" applyBorder="1" applyAlignment="1">
      <x:alignment wrapText="1"/>
    </x:xf>
    <x:xf numFmtId="203" fontId="25" fillId="5" borderId="4" xfId="0" applyNumberFormat="1" applyFont="1" applyFill="1" applyBorder="1" applyAlignment="1">
      <x:alignment wrapText="1"/>
    </x:xf>
    <x:xf numFmtId="203" fontId="25" fillId="5" borderId="5" xfId="0" applyNumberFormat="1" applyFont="1" applyFill="1" applyBorder="1" applyAlignment="1">
      <x:alignment wrapText="1"/>
    </x:xf>
    <x:xf numFmtId="0" fontId="25" fillId="5" borderId="6" xfId="0" applyNumberFormat="1" applyFont="1" applyFill="1" applyBorder="1" applyAlignment="1">
      <x:alignment wrapText="1"/>
    </x:xf>
    <x:xf numFmtId="0" fontId="24" fillId="8" borderId="4" xfId="0" applyNumberFormat="1" applyFont="1" applyFill="1" applyBorder="1" applyAlignment="1">
      <x:alignment wrapText="1"/>
    </x:xf>
    <x:xf numFmtId="0" fontId="24" fillId="8" borderId="6" xfId="0" applyNumberFormat="1" applyFont="1" applyFill="1" applyBorder="1" applyAlignment="1">
      <x:alignment wrapText="1"/>
    </x:xf>
    <x:xf numFmtId="202" fontId="24" fillId="8" borderId="17" xfId="0" applyNumberFormat="1" applyFont="1" applyFill="1" applyBorder="1" applyAlignment="1">
      <x:alignment wrapText="1"/>
    </x:xf>
    <x:xf numFmtId="0" fontId="24" fillId="8" borderId="0" xfId="0" applyNumberFormat="1" applyFont="1" applyFill="1" applyBorder="1" applyAlignment="1">
      <x:alignment wrapText="1"/>
    </x:xf>
    <x:xf numFmtId="203" fontId="24" fillId="8" borderId="0" xfId="0" applyNumberFormat="1" applyFont="1" applyFill="1" applyBorder="1" applyAlignment="1">
      <x:alignment wrapText="1"/>
    </x:xf>
    <x:xf numFmtId="203" fontId="24" fillId="8" borderId="18" xfId="0" applyNumberFormat="1" applyFont="1" applyFill="1" applyBorder="1" applyAlignment="1">
      <x:alignment wrapText="1"/>
    </x:xf>
    <x:xf numFmtId="203" fontId="24" fillId="8" borderId="17" xfId="0" applyNumberFormat="1" applyFont="1" applyFill="1" applyBorder="1" applyAlignment="1">
      <x:alignment wrapText="1"/>
    </x:xf>
    <x:xf numFmtId="203" fontId="26" fillId="9" borderId="17" xfId="0" applyNumberFormat="1" applyFont="1" applyFill="1" applyBorder="1" applyAlignment="1">
      <x:alignment wrapText="1"/>
    </x:xf>
    <x:xf numFmtId="203" fontId="26" fillId="9" borderId="18" xfId="0" applyNumberFormat="1" applyFont="1" applyFill="1" applyBorder="1" applyAlignment="1">
      <x:alignment wrapText="1"/>
    </x:xf>
    <x:xf numFmtId="203" fontId="25" fillId="5" borderId="17" xfId="0" applyNumberFormat="1" applyFont="1" applyFill="1" applyBorder="1" applyAlignment="1">
      <x:alignment wrapText="1"/>
    </x:xf>
    <x:xf numFmtId="203" fontId="25" fillId="5" borderId="0" xfId="0" applyNumberFormat="1" applyFont="1" applyFill="1" applyBorder="1" applyAlignment="1">
      <x:alignment wrapText="1"/>
    </x:xf>
    <x:xf numFmtId="0" fontId="25" fillId="5" borderId="18" xfId="0" applyNumberFormat="1" applyFont="1" applyFill="1" applyBorder="1" applyAlignment="1">
      <x:alignment wrapText="1"/>
    </x:xf>
    <x:xf numFmtId="0" fontId="24" fillId="8" borderId="17" xfId="0" applyNumberFormat="1" applyFont="1" applyFill="1" applyBorder="1" applyAlignment="1">
      <x:alignment wrapText="1"/>
    </x:xf>
    <x:xf numFmtId="0" fontId="24" fillId="8" borderId="18" xfId="0" applyNumberFormat="1" applyFont="1" applyFill="1" applyBorder="1" applyAlignment="1">
      <x:alignment wrapText="1"/>
    </x:xf>
    <x:xf numFmtId="202" fontId="24" fillId="8" borderId="7" xfId="0" applyNumberFormat="1" applyFont="1" applyFill="1" applyBorder="1" applyAlignment="1">
      <x:alignment wrapText="1"/>
    </x:xf>
    <x:xf numFmtId="0" fontId="24" fillId="8" borderId="8" xfId="0" applyNumberFormat="1" applyFont="1" applyFill="1" applyBorder="1" applyAlignment="1">
      <x:alignment wrapText="1"/>
    </x:xf>
    <x:xf numFmtId="203" fontId="24" fillId="8" borderId="8" xfId="0" applyNumberFormat="1" applyFont="1" applyFill="1" applyBorder="1" applyAlignment="1">
      <x:alignment wrapText="1"/>
    </x:xf>
    <x:xf numFmtId="203" fontId="24" fillId="8" borderId="9" xfId="0" applyNumberFormat="1" applyFont="1" applyFill="1" applyBorder="1" applyAlignment="1">
      <x:alignment wrapText="1"/>
    </x:xf>
    <x:xf numFmtId="203" fontId="25" fillId="5" borderId="10" xfId="0" applyNumberFormat="1" applyFont="1" applyFill="1" applyBorder="1" applyAlignment="1">
      <x:alignment wrapText="1"/>
    </x:xf>
    <x:xf numFmtId="203" fontId="24" fillId="8" borderId="7" xfId="0" applyNumberFormat="1" applyFont="1" applyFill="1" applyBorder="1" applyAlignment="1">
      <x:alignment wrapText="1"/>
    </x:xf>
    <x:xf numFmtId="203" fontId="26" fillId="9" borderId="7" xfId="0" applyNumberFormat="1" applyFont="1" applyFill="1" applyBorder="1" applyAlignment="1">
      <x:alignment wrapText="1"/>
    </x:xf>
    <x:xf numFmtId="203" fontId="26" fillId="9" borderId="9" xfId="0" applyNumberFormat="1" applyFont="1" applyFill="1" applyBorder="1" applyAlignment="1">
      <x:alignment wrapText="1"/>
    </x:xf>
    <x:xf numFmtId="203" fontId="25" fillId="5" borderId="7" xfId="0" applyNumberFormat="1" applyFont="1" applyFill="1" applyBorder="1" applyAlignment="1">
      <x:alignment wrapText="1"/>
    </x:xf>
    <x:xf numFmtId="203" fontId="25" fillId="5" borderId="8" xfId="0" applyNumberFormat="1" applyFont="1" applyFill="1" applyBorder="1" applyAlignment="1">
      <x:alignment wrapText="1"/>
    </x:xf>
    <x:xf numFmtId="0" fontId="25" fillId="5" borderId="9" xfId="0" applyNumberFormat="1" applyFont="1" applyFill="1" applyBorder="1" applyAlignment="1">
      <x:alignment wrapText="1"/>
    </x:xf>
    <x:xf numFmtId="0" fontId="24" fillId="8" borderId="7" xfId="0" applyNumberFormat="1" applyFont="1" applyFill="1" applyBorder="1" applyAlignment="1">
      <x:alignment wrapText="1"/>
    </x:xf>
    <x:xf numFmtId="0" fontId="24" fillId="8" borderId="9" xfId="0" applyNumberFormat="1" applyFont="1" applyFill="1" applyBorder="1" applyAlignment="1">
      <x:alignment wrapText="1"/>
    </x:xf>
    <x:xf numFmtId="202" fontId="24" fillId="8" borderId="5" xfId="0" applyNumberFormat="1" applyFont="1" applyFill="1" applyBorder="1" applyAlignment="1">
      <x:alignment wrapText="1"/>
    </x:xf>
    <x:xf numFmtId="202" fontId="24" fillId="8" borderId="0" xfId="0" applyNumberFormat="1" applyFont="1" applyFill="1" applyBorder="1" applyAlignment="1">
      <x:alignment wrapText="1"/>
    </x:xf>
    <x:xf numFmtId="202" fontId="24" fillId="8" borderId="8" xfId="0" applyNumberFormat="1" applyFont="1" applyFill="1" applyBorder="1" applyAlignment="1">
      <x:alignment wrapText="1"/>
    </x:xf>
    <x:xf numFmtId="0" fontId="25" fillId="5" borderId="10" xfId="0" applyNumberFormat="1" applyFont="1" applyFill="1" applyBorder="1" applyAlignment="1">
      <x:alignment horizontal="center" wrapText="1"/>
    </x:xf>
    <x:xf numFmtId="0" fontId="16" fillId="0" borderId="10" xfId="0" applyNumberFormat="1" applyFont="1" applyFill="1" applyBorder="1" applyAlignment="1">
      <x:alignment horizontal="center" wrapText="1"/>
    </x:xf>
    <x:xf numFmtId="0" fontId="25" fillId="5" borderId="12" xfId="0" applyNumberFormat="1" applyFont="1" applyFill="1" applyBorder="1" applyAlignment="1">
      <x:alignment horizontal="center" wrapText="1"/>
    </x:xf>
    <x:xf numFmtId="0" fontId="16" fillId="0" borderId="12" xfId="0" applyNumberFormat="1" applyFont="1" applyFill="1" applyBorder="1" applyAlignment="1">
      <x:alignment horizontal="center" wrapText="1"/>
    </x:xf>
    <x:xf numFmtId="0" fontId="25" fillId="5" borderId="14" xfId="0" applyNumberFormat="1" applyFont="1" applyFill="1" applyBorder="1" applyAlignment="1">
      <x:alignment horizontal="center" wrapText="1"/>
    </x:xf>
    <x:xf numFmtId="0" fontId="16" fillId="0" borderId="14" xfId="0" applyNumberFormat="1" applyFont="1" applyFill="1" applyBorder="1" applyAlignment="1">
      <x:alignment horizontal="center" wrapText="1"/>
    </x:xf>
    <x:xf numFmtId="0" fontId="27" fillId="3" borderId="19" xfId="0" applyNumberFormat="1" applyFont="1" applyFill="1" applyBorder="1" applyAlignment="1">
      <x:alignment wrapText="1"/>
    </x:xf>
    <x:xf numFmtId="0" fontId="27" fillId="3" borderId="2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9d66bda5e4aed" /><Relationship Type="http://schemas.openxmlformats.org/officeDocument/2006/relationships/theme" Target="/xl/theme/theme1.xml" Id="Rbafc34706a264126" /><Relationship Type="http://schemas.openxmlformats.org/officeDocument/2006/relationships/sharedStrings" Target="/xl/sharedStrings.xml" Id="R2d2c4d9fc2894e5a" /><Relationship Type="http://schemas.openxmlformats.org/officeDocument/2006/relationships/worksheet" Target="/xl/worksheets/sheet1.xml" Id="R5ac7240908524bb8" /><Relationship Type="http://schemas.openxmlformats.org/officeDocument/2006/relationships/worksheet" Target="/xl/worksheets/sheet2.xml" Id="R2f4f0b38035d4a87" /><Relationship Type="http://schemas.openxmlformats.org/officeDocument/2006/relationships/worksheet" Target="/xl/worksheets/sheet3.xml" Id="R23b2417182aa4a13" /><Relationship Type="http://schemas.openxmlformats.org/officeDocument/2006/relationships/worksheet" Target="/xl/worksheets/sheet4.xml" Id="R36f4e7b802014d5e" /><Relationship Type="http://schemas.openxmlformats.org/officeDocument/2006/relationships/worksheet" Target="/xl/worksheets/sheet5.xml" Id="R98912e68384d4b2a" /><Relationship Type="http://schemas.openxmlformats.org/officeDocument/2006/relationships/worksheet" Target="/xl/worksheets/sheet6.xml" Id="Rd4fff69ec13543e5" /><Relationship Type="http://schemas.openxmlformats.org/officeDocument/2006/relationships/worksheet" Target="/xl/worksheets/sheet7.xml" Id="R24b1f3f5743643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fd1f7f78e64e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 бумажных сделок после издержек, ₽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Результат после издержек</c:v>
          </c:tx>
          <c:spPr>
            <a:solidFill xmlns:a="http://schemas.openxmlformats.org/drawingml/2006/main">
              <a:srgbClr val="0B5CAB"/>
            </a:solidFill>
          </c:spPr>
          <c:cat>
            <c:strRef>
              <c:f>'Журнал сделок'!$A$7:$A$26</c:f>
              <c:strCache>
                <c:ptCount val="0"/>
              </c:strCache>
            </c:strRef>
          </c:cat>
          <c:val>
            <c:numRef>
              <c:f>'Журнал сделок'!$T$7:$T$26</c:f>
              <c:numCache>
                <c:formatCode>#,##0;[Red](#,##0)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[Red](#,##0)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fd1f7f78e64e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TradesTable" displayName="PaperTradesTable" ref="A6:W106" headerRowCount="1" totalsRowCount="0" totalsRowShown="0">
  <x:autoFilter ref="A6:W106"/>
  <x:tableColumns count="23">
    <x:tableColumn id="1" name="№"/>
    <x:tableColumn id="2" name="Дата"/>
    <x:tableColumn id="3" name="SECID"/>
    <x:tableColumn id="4" name="Направление"/>
    <x:tableColumn id="5" name="Учебная гипотеза"/>
    <x:tableColumn id="6" name="Плановый вход"/>
    <x:tableColumn id="7" name="Плановый стоп"/>
    <x:tableColumn id="8" name="Контрактов"/>
    <x:tableColumn id="9" name="Риск-бюджет"/>
    <x:tableColumn id="10" name="Планируемый убыток до стопа"/>
    <x:tableColumn id="11" name="Плановые комиссии"/>
    <x:tableColumn id="12" name="Плановое проскальзывание"/>
    <x:tableColumn id="13" name="Фактический вход"/>
    <x:tableColumn id="14" name="Фактический выход"/>
    <x:tableColumn id="15" name="Фактические комиссии"/>
    <x:tableColumn id="16" name="Фактическое проскальзывание"/>
    <x:tableColumn id="17" name="MINSTEP"/>
    <x:tableColumn id="18" name="STEPPRICE"/>
    <x:tableColumn id="19" name="Валовый результат"/>
    <x:tableColumn id="20" name="Результат после издержек"/>
    <x:tableColumn id="21" name="Риск-бюджет превышен?"/>
    <x:tableColumn id="22" name="Качество решения"/>
    <x:tableColumn id="23" name="Ошибка / следующий ша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d382126af5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a613174903249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0" hidden="0" customWidth="1"/>
    <x:col min="4" max="4" width="15" hidden="0" customWidth="1"/>
    <x:col min="5" max="5" width="20" hidden="0" customWidth="1"/>
    <x:col min="6" max="6" width="15" hidden="0" customWidth="1"/>
    <x:col min="7" max="7" width="18" hidden="0" customWidth="1"/>
    <x:col min="8" max="8" width="15" hidden="0" customWidth="1"/>
  </x:cols>
  <x:sheetData>
    <x:row r="1" ht="22" customHeight="1">
      <x:c r="A1" s="201" t="str">
        <x:v>Учебная лаборатория: фьючерсы</x:v>
      </x:c>
      <x:c r="B1" s="201" t="str">
        <x:v>Учебная лаборатория: фьючерсы</x:v>
      </x:c>
      <x:c r="C1" s="201" t="str">
        <x:v>Учебная лаборатория: фьючерсы</x:v>
      </x:c>
      <x:c r="D1" s="201" t="str">
        <x:v>Учебная лаборатория: фьючерсы</x:v>
      </x:c>
      <x:c r="E1" s="201" t="str">
        <x:v>Учебная лаборатория: фьючерсы</x:v>
      </x:c>
      <x:c r="F1" s="201" t="str">
        <x:v>Учебная лаборатория: фьючерсы</x:v>
      </x:c>
      <x:c r="G1" s="201" t="str">
        <x:v>Учебная лаборатория: фьючерсы</x:v>
      </x:c>
      <x:c r="H1" s="201" t="str">
        <x:v>Учебная лаборатория: фьючерсы</x:v>
      </x:c>
    </x:row>
    <x:row r="2" ht="22" customHeight="1">
      <x:c r="A2" s="201" t="str">
        <x:v>Учебная лаборатория: фьючерсы</x:v>
      </x:c>
      <x:c r="B2" s="201" t="str">
        <x:v>Учебная лаборатория: фьючерсы</x:v>
      </x:c>
      <x:c r="C2" s="201" t="str">
        <x:v>Учебная лаборатория: фьючерсы</x:v>
      </x:c>
      <x:c r="D2" s="201" t="str">
        <x:v>Учебная лаборатория: фьючерсы</x:v>
      </x:c>
      <x:c r="E2" s="201" t="str">
        <x:v>Учебная лаборатория: фьючерсы</x:v>
      </x:c>
      <x:c r="F2" s="201" t="str">
        <x:v>Учебная лаборатория: фьючерсы</x:v>
      </x:c>
      <x:c r="G2" s="201" t="str">
        <x:v>Учебная лаборатория: фьючерсы</x:v>
      </x:c>
      <x:c r="H2" s="201" t="str">
        <x:v>Учебная лаборатория: фьючерсы</x:v>
      </x:c>
    </x:row>
    <x:row r="3" ht="42" customHeight="1">
      <x:c r="A3" s="202" t="str">
        <x:v>Бумажная практика и расчёты. Это не брокерский терминал, не торговый сигнал и не доказательство будущей прибыли.</x:v>
      </x:c>
      <x:c r="B3" s="203" t="str">
        <x:v>Бумажная практика и расчёты. Это не брокерский терминал, не торговый сигнал и не доказательство будущей прибыли.</x:v>
      </x:c>
      <x:c r="C3" s="203" t="str">
        <x:v>Бумажная практика и расчёты. Это не брокерский терминал, не торговый сигнал и не доказательство будущей прибыли.</x:v>
      </x:c>
      <x:c r="D3" s="203" t="str">
        <x:v>Бумажная практика и расчёты. Это не брокерский терминал, не торговый сигнал и не доказательство будущей прибыли.</x:v>
      </x:c>
      <x:c r="E3" s="203" t="str">
        <x:v>Бумажная практика и расчёты. Это не брокерский терминал, не торговый сигнал и не доказательство будущей прибыли.</x:v>
      </x:c>
      <x:c r="F3" s="203" t="str">
        <x:v>Бумажная практика и расчёты. Это не брокерский терминал, не торговый сигнал и не доказательство будущей прибыли.</x:v>
      </x:c>
      <x:c r="G3" s="203" t="str">
        <x:v>Бумажная практика и расчёты. Это не брокерский терминал, не торговый сигнал и не доказательство будущей прибыли.</x:v>
      </x:c>
      <x:c r="H3" s="204" t="str">
        <x:v>Бумажная практика и расчёты. Это не брокерский терминал, не торговый сигнал и не доказательство будущей прибыли.</x:v>
      </x:c>
    </x:row>
    <x:row r="4" ht="22" customHeight="1">
      <x:c r="A4" s="205"/>
      <x:c r="B4" s="205"/>
      <x:c r="C4" s="205"/>
      <x:c r="D4" s="205"/>
      <x:c r="E4" s="205"/>
      <x:c r="F4" s="205"/>
      <x:c r="G4" s="205"/>
      <x:c r="H4" s="205"/>
    </x:row>
    <x:row r="5" ht="22" customHeight="1">
      <x:c r="A5" s="206" t="str">
        <x:v>Бумажных сделок</x:v>
      </x:c>
      <x:c r="B5" s="206"/>
      <x:c r="C5" s="206" t="str">
        <x:v>Средний результат после издержек</x:v>
      </x:c>
      <x:c r="D5" s="206"/>
      <x:c r="E5" s="206" t="str">
        <x:v>Доля без превышения риск-бюджета</x:v>
      </x:c>
      <x:c r="F5" s="206"/>
      <x:c r="G5" s="206" t="str">
        <x:v>Общий статус модели</x:v>
      </x:c>
      <x:c r="H5" s="206"/>
    </x:row>
    <x:row r="6" ht="22" customHeight="1">
      <x:c r="A6" s="207" t="n">
        <x:f>COUNTIF('Журнал сделок'!$B$7:$B$106,"&lt;&gt;")</x:f>
        <x:v>0</x:v>
      </x:c>
      <x:c r="B6" s="208"/>
      <x:c r="C6" s="209" t="n">
        <x:f>IFERROR(AVERAGE('Журнал сделок'!$T$7:$T$106),0)</x:f>
        <x:v>0</x:v>
      </x:c>
      <x:c r="D6" s="208"/>
      <x:c r="E6" s="210" t="n">
        <x:f>IF(A6=0,0,COUNTIF('Журнал сделок'!$U$7:$U$106,"Нет")/A6)</x:f>
        <x:v>0</x:v>
      </x:c>
      <x:c r="F6" s="208"/>
      <x:c r="G6" s="211" t="str">
        <x:f>'Проверки'!$B$12</x:f>
        <x:v>Нужно заполнить и проверить</x:v>
      </x:c>
      <x:c r="H6" s="212"/>
    </x:row>
    <x:row r="7" ht="22" customHeight="1">
      <x:c r="A7" s="213"/>
      <x:c r="B7" s="214"/>
      <x:c r="C7" s="214"/>
      <x:c r="D7" s="214"/>
      <x:c r="E7" s="214"/>
      <x:c r="F7" s="214"/>
      <x:c r="G7" s="214"/>
      <x:c r="H7" s="215"/>
    </x:row>
    <x:row r="8" ht="22" customHeight="1">
      <x:c r="A8" s="205"/>
      <x:c r="B8" s="205"/>
      <x:c r="C8" s="205"/>
      <x:c r="D8" s="205"/>
      <x:c r="E8" s="205"/>
      <x:c r="F8" s="205"/>
      <x:c r="G8" s="205"/>
      <x:c r="H8" s="205"/>
    </x:row>
    <x:row r="9" ht="22" customHeight="1">
      <x:c r="A9" s="216" t="str">
        <x:v>Как пользоваться</x:v>
      </x:c>
      <x:c r="B9" s="216" t="str">
        <x:v>Как пользоваться</x:v>
      </x:c>
      <x:c r="C9" s="216" t="str">
        <x:v>Как пользоваться</x:v>
      </x:c>
      <x:c r="D9" s="216" t="str">
        <x:v>Как пользоваться</x:v>
      </x:c>
      <x:c r="E9" s="216" t="str">
        <x:v>Как пользоваться</x:v>
      </x:c>
      <x:c r="F9" s="216" t="str">
        <x:v>Как пользоваться</x:v>
      </x:c>
      <x:c r="G9" s="216" t="str">
        <x:v>Как пользоваться</x:v>
      </x:c>
      <x:c r="H9" s="216" t="str">
        <x:v>Как пользоваться</x:v>
      </x:c>
    </x:row>
    <x:row r="10" ht="36" customHeight="1">
      <x:c r="A10" s="217" t="str">
        <x:v>1</x:v>
      </x:c>
      <x:c r="B10" s="218" t="str">
        <x:v>Контракт</x:v>
      </x:c>
      <x:c r="C10" s="219" t="str">
        <x:v>Перенесите только проверенные поля из карточки MOEX ISS вместе с URL и временем среза.</x:v>
      </x:c>
      <x:c r="D10" s="219"/>
      <x:c r="E10" s="219"/>
      <x:c r="F10" s="219"/>
      <x:c r="G10" s="219"/>
      <x:c r="H10" s="220"/>
    </x:row>
    <x:row r="11" ht="36" customHeight="1">
      <x:c r="A11" s="221" t="str">
        <x:v>2</x:v>
      </x:c>
      <x:c r="B11" s="222" t="str">
        <x:v>Калькулятор</x:v>
      </x:c>
      <x:c r="C11" s="223" t="str">
        <x:v>Отделяйте риск-бюджет, планируемый убыток до стопа и фактический результат.</x:v>
      </x:c>
      <x:c r="D11" s="223"/>
      <x:c r="E11" s="223"/>
      <x:c r="F11" s="223"/>
      <x:c r="G11" s="223"/>
      <x:c r="H11" s="224"/>
    </x:row>
    <x:row r="12" ht="36" customHeight="1">
      <x:c r="A12" s="221" t="str">
        <x:v>3</x:v>
      </x:c>
      <x:c r="B12" s="222" t="str">
        <x:v>Журнал</x:v>
      </x:c>
      <x:c r="C12" s="223" t="str">
        <x:v>Записывайте план до сделки и учебное исполнение после сделки в разные столбцы.</x:v>
      </x:c>
      <x:c r="D12" s="223"/>
      <x:c r="E12" s="223"/>
      <x:c r="F12" s="223"/>
      <x:c r="G12" s="223"/>
      <x:c r="H12" s="224"/>
    </x:row>
    <x:row r="13" ht="36" customHeight="1">
      <x:c r="A13" s="225" t="str">
        <x:v>4</x:v>
      </x:c>
      <x:c r="B13" s="226" t="str">
        <x:v>Прогресс</x:v>
      </x:c>
      <x:c r="C13" s="227" t="str">
        <x:v>Повышайте статус только по самостоятельному действию и отсроченной проверке.</x:v>
      </x:c>
      <x:c r="D13" s="227"/>
      <x:c r="E13" s="227"/>
      <x:c r="F13" s="227"/>
      <x:c r="G13" s="227"/>
      <x:c r="H13" s="228"/>
    </x:row>
    <x:row r="14" ht="22" customHeight="1">
      <x:c r="A14" s="205"/>
      <x:c r="B14" s="205"/>
      <x:c r="C14" s="205"/>
      <x:c r="D14" s="205"/>
      <x:c r="E14" s="205"/>
      <x:c r="F14" s="205"/>
      <x:c r="G14" s="205"/>
      <x:c r="H14" s="205"/>
    </x:row>
    <x:row r="15" ht="22" customHeight="1">
      <x:c r="A15" s="216" t="str">
        <x:v>Готовность к следующему этапу</x:v>
      </x:c>
      <x:c r="B15" s="216" t="str">
        <x:v>Готовность к следующему этапу</x:v>
      </x:c>
      <x:c r="C15" s="216" t="str">
        <x:v>Готовность к следующему этапу</x:v>
      </x:c>
      <x:c r="D15" s="216" t="str">
        <x:v>Готовность к следующему этапу</x:v>
      </x:c>
      <x:c r="E15" s="216" t="str">
        <x:v>Готовность к следующему этапу</x:v>
      </x:c>
      <x:c r="F15" s="216" t="str">
        <x:v>Готовность к следующему этапу</x:v>
      </x:c>
      <x:c r="G15" s="216" t="str">
        <x:v>Готовность к следующему этапу</x:v>
      </x:c>
      <x:c r="H15" s="216" t="str">
        <x:v>Готовность к следующему этапу</x:v>
      </x:c>
    </x:row>
    <x:row r="16" ht="32" customHeight="1">
      <x:c r="A16" s="229" t="str">
        <x:v>Ворота</x:v>
      </x:c>
      <x:c r="B16" s="230"/>
      <x:c r="C16" s="230"/>
      <x:c r="D16" s="230" t="str">
        <x:v>Статус</x:v>
      </x:c>
      <x:c r="E16" s="230" t="str">
        <x:v>Свидетельство</x:v>
      </x:c>
      <x:c r="F16" s="230"/>
      <x:c r="G16" s="230"/>
      <x:c r="H16" s="231" t="str">
        <x:v>Следующая проверка</x:v>
      </x:c>
    </x:row>
    <x:row r="17" ht="32" customHeight="1">
      <x:c r="A17" s="232" t="str">
        <x:v>Паспорт контракта и единицы</x:v>
      </x:c>
      <x:c r="B17" s="233"/>
      <x:c r="C17" s="233"/>
      <x:c r="D17" s="233" t="str">
        <x:f>'Прогресс'!$B$8</x:f>
        <x:v>требует диагностики</x:v>
      </x:c>
      <x:c r="E17" s="233" t="str">
        <x:f>'Прогресс'!$C$8</x:f>
        <x:v>Нет свежего самостоятельного задания</x:v>
      </x:c>
      <x:c r="F17" s="233"/>
      <x:c r="G17" s="233"/>
      <x:c r="H17" s="234" t="str">
        <x:f>IF('Прогресс'!$E$8="","",'Прогресс'!$E$8)</x:f>
      </x:c>
    </x:row>
    <x:row r="18" ht="32" customHeight="1">
      <x:c r="A18" s="235" t="str">
        <x:v>P&amp;L двумя способами</x:v>
      </x:c>
      <x:c r="B18" s="236"/>
      <x:c r="C18" s="236"/>
      <x:c r="D18" s="236" t="str">
        <x:f>'Прогресс'!$B$9</x:f>
        <x:v>практика с подсказками</x:v>
      </x:c>
      <x:c r="E18" s="236" t="str">
        <x:f>'Прогресс'!$C$9</x:f>
        <x:v>Направление и один путь знакомы; второй способ не закреплён</x:v>
      </x:c>
      <x:c r="F18" s="236"/>
      <x:c r="G18" s="236"/>
      <x:c r="H18" s="237" t="str">
        <x:f>IF('Прогресс'!$E$9="","",'Прогресс'!$E$9)</x:f>
      </x:c>
    </x:row>
    <x:row r="19" ht="32" customHeight="1">
      <x:c r="A19" s="235" t="str">
        <x:v>ГО, номинал, капитал и риск-бюджет</x:v>
      </x:c>
      <x:c r="B19" s="236"/>
      <x:c r="C19" s="236"/>
      <x:c r="D19" s="236" t="str">
        <x:f>'Прогресс'!$B$10</x:f>
        <x:v>не начато</x:v>
      </x:c>
      <x:c r="E19" s="236" t="str">
        <x:f>'Прогресс'!$C$10</x:f>
        <x:v>Расчёт числа контрактов по риск-бюджету ещё не проходил</x:v>
      </x:c>
      <x:c r="F19" s="236"/>
      <x:c r="G19" s="236"/>
      <x:c r="H19" s="237" t="str">
        <x:f>IF('Прогресс'!$E$10="","",'Прогресс'!$E$10)</x:f>
      </x:c>
    </x:row>
    <x:row r="20" ht="32" customHeight="1">
      <x:c r="A20" s="235" t="str">
        <x:v>Стоп, исполнение и издержки</x:v>
      </x:c>
      <x:c r="B20" s="236"/>
      <x:c r="C20" s="236"/>
      <x:c r="D20" s="236" t="str">
        <x:f>'Прогресс'!$B$11</x:f>
        <x:v>не начато</x:v>
      </x:c>
      <x:c r="E20" s="236" t="str">
        <x:f>'Прогресс'!$C$11</x:f>
        <x:v>Не проверено</x:v>
      </x:c>
      <x:c r="F20" s="236"/>
      <x:c r="G20" s="236"/>
      <x:c r="H20" s="237" t="str">
        <x:f>IF('Прогресс'!$E$11="","",'Прогресс'!$E$11)</x:f>
      </x:c>
    </x:row>
    <x:row r="21" ht="32" customHeight="1">
      <x:c r="A21" s="235" t="str">
        <x:v>Серия бумажных решений</x:v>
      </x:c>
      <x:c r="B21" s="236"/>
      <x:c r="C21" s="236"/>
      <x:c r="D21" s="236" t="str">
        <x:f>'Прогресс'!$B$12</x:f>
        <x:v>не начато</x:v>
      </x:c>
      <x:c r="E21" s="236" t="str">
        <x:f>'Прогресс'!$C$12</x:f>
        <x:v>Журнал пока пуст</x:v>
      </x:c>
      <x:c r="F21" s="236"/>
      <x:c r="G21" s="236"/>
      <x:c r="H21" s="237" t="str">
        <x:f>IF('Прогресс'!$E$12="","",'Прогресс'!$E$12)</x:f>
      </x:c>
    </x:row>
    <x:row r="22" ht="32" customHeight="1">
      <x:c r="A22" s="238" t="str">
        <x:v>Статистика и ограничения выборки</x:v>
      </x:c>
      <x:c r="B22" s="239"/>
      <x:c r="C22" s="239"/>
      <x:c r="D22" s="239" t="str">
        <x:f>'Прогресс'!$B$13</x:f>
        <x:v>требует диагностики</x:v>
      </x:c>
      <x:c r="E22" s="239" t="str">
        <x:f>'Прогресс'!$C$13</x:f>
        <x:v>Предметный перенос не проверен</x:v>
      </x:c>
      <x:c r="F22" s="239"/>
      <x:c r="G22" s="239"/>
      <x:c r="H22" s="240" t="str">
        <x:f>IF('Прогресс'!$E$13="","",'Прогресс'!$E$13)</x:f>
      </x:c>
    </x:row>
    <x:row r="23" ht="22" customHeight="1">
      <x:c r="A23" s="241" t="str">
        <x:v>Диаграмма появится после первой заполненной бумажной сделки.</x:v>
      </x:c>
      <x:c r="B23" s="241" t="str">
        <x:v>Диаграмма появится после первой заполненной бумажной сделки.</x:v>
      </x:c>
      <x:c r="C23" s="241" t="str">
        <x:v>Диаграмма появится после первой заполненной бумажной сделки.</x:v>
      </x:c>
      <x:c r="D23" s="241" t="str">
        <x:v>Диаграмма появится после первой заполненной бумажной сделки.</x:v>
      </x:c>
      <x:c r="E23" s="241" t="str">
        <x:v>Диаграмма появится после первой заполненной бумажной сделки.</x:v>
      </x:c>
      <x:c r="F23" s="241" t="str">
        <x:v>Диаграмма появится после первой заполненной бумажной сделки.</x:v>
      </x:c>
      <x:c r="G23" s="241" t="str">
        <x:v>Диаграмма появится после первой заполненной бумажной сделки.</x:v>
      </x:c>
      <x:c r="H23" s="241" t="str">
        <x:v>Диаграмма появится после первой заполненной бумажной сделки.</x:v>
      </x:c>
    </x:row>
    <x:row r="24" ht="22" customHeight="1">
      <x:c r="A24" s="205"/>
      <x:c r="B24" s="205"/>
      <x:c r="C24" s="205"/>
      <x:c r="D24" s="205"/>
      <x:c r="E24" s="205"/>
      <x:c r="F24" s="205"/>
      <x:c r="G24" s="205"/>
      <x:c r="H24" s="205"/>
    </x:row>
    <x:row r="25" ht="22" customHeight="1">
      <x:c r="A25" s="205"/>
      <x:c r="B25" s="205"/>
      <x:c r="C25" s="205"/>
      <x:c r="D25" s="205"/>
      <x:c r="E25" s="205"/>
      <x:c r="F25" s="205"/>
      <x:c r="G25" s="205"/>
      <x:c r="H25" s="205"/>
    </x:row>
    <x:row r="26" ht="22" customHeight="1">
      <x:c r="A26" s="205"/>
      <x:c r="B26" s="205"/>
      <x:c r="C26" s="205"/>
      <x:c r="D26" s="205"/>
      <x:c r="E26" s="205"/>
      <x:c r="F26" s="205"/>
      <x:c r="G26" s="205"/>
      <x:c r="H26" s="205"/>
    </x:row>
    <x:row r="27" ht="22" customHeight="1">
      <x:c r="A27" s="205"/>
      <x:c r="B27" s="205"/>
      <x:c r="C27" s="205"/>
      <x:c r="D27" s="205"/>
      <x:c r="E27" s="205"/>
      <x:c r="F27" s="205"/>
      <x:c r="G27" s="205"/>
      <x:c r="H27" s="205"/>
    </x:row>
    <x:row r="28" ht="22" customHeight="1">
      <x:c r="A28" s="205"/>
      <x:c r="B28" s="205"/>
      <x:c r="C28" s="205"/>
      <x:c r="D28" s="205"/>
      <x:c r="E28" s="205"/>
      <x:c r="F28" s="205"/>
      <x:c r="G28" s="205"/>
      <x:c r="H28" s="205"/>
    </x:row>
    <x:row r="29" ht="22" customHeight="1">
      <x:c r="A29" s="205"/>
      <x:c r="B29" s="205"/>
      <x:c r="C29" s="205"/>
      <x:c r="D29" s="205"/>
      <x:c r="E29" s="205"/>
      <x:c r="F29" s="205"/>
      <x:c r="G29" s="205"/>
      <x:c r="H29" s="205"/>
    </x:row>
    <x:row r="30" ht="22" customHeight="1">
      <x:c r="A30" s="205"/>
      <x:c r="B30" s="205"/>
      <x:c r="C30" s="205"/>
      <x:c r="D30" s="205"/>
      <x:c r="E30" s="205"/>
      <x:c r="F30" s="205"/>
      <x:c r="G30" s="205"/>
      <x:c r="H30" s="205"/>
    </x:row>
    <x:row r="31" ht="22" customHeight="1">
      <x:c r="A31" s="205"/>
      <x:c r="B31" s="205"/>
      <x:c r="C31" s="205"/>
      <x:c r="D31" s="205"/>
      <x:c r="E31" s="205"/>
      <x:c r="F31" s="205"/>
      <x:c r="G31" s="205"/>
      <x:c r="H31" s="205"/>
    </x:row>
    <x:row r="32" ht="22" customHeight="1">
      <x:c r="A32" s="205"/>
      <x:c r="B32" s="205"/>
      <x:c r="C32" s="205"/>
      <x:c r="D32" s="205"/>
      <x:c r="E32" s="205"/>
      <x:c r="F32" s="205"/>
      <x:c r="G32" s="205"/>
      <x:c r="H32" s="205"/>
    </x:row>
    <x:row r="33" ht="22" customHeight="1">
      <x:c r="A33" s="205"/>
      <x:c r="B33" s="205"/>
      <x:c r="C33" s="205"/>
      <x:c r="D33" s="205"/>
      <x:c r="E33" s="205"/>
      <x:c r="F33" s="205"/>
      <x:c r="G33" s="205"/>
      <x:c r="H33" s="205"/>
    </x:row>
    <x:row r="34" ht="22" customHeight="1">
      <x:c r="A34" s="205"/>
      <x:c r="B34" s="205"/>
      <x:c r="C34" s="205"/>
      <x:c r="D34" s="205"/>
      <x:c r="E34" s="205"/>
      <x:c r="F34" s="205"/>
      <x:c r="G34" s="205"/>
      <x:c r="H34" s="205"/>
    </x:row>
    <x:row r="35" ht="22" customHeight="1">
      <x:c r="A35" s="205"/>
      <x:c r="B35" s="205"/>
      <x:c r="C35" s="205"/>
      <x:c r="D35" s="205"/>
      <x:c r="E35" s="205"/>
      <x:c r="F35" s="205"/>
      <x:c r="G35" s="205"/>
      <x:c r="H35" s="205"/>
    </x:row>
    <x:row r="36" ht="22" customHeight="1">
      <x:c r="A36" s="205"/>
      <x:c r="B36" s="205"/>
      <x:c r="C36" s="205"/>
      <x:c r="D36" s="205"/>
      <x:c r="E36" s="205"/>
      <x:c r="F36" s="205"/>
      <x:c r="G36" s="205"/>
      <x:c r="H36" s="205"/>
    </x:row>
    <x:row r="37" ht="22" customHeight="1">
      <x:c r="A37" s="205"/>
      <x:c r="B37" s="205"/>
      <x:c r="C37" s="205"/>
      <x:c r="D37" s="205"/>
      <x:c r="E37" s="205"/>
      <x:c r="F37" s="205"/>
      <x:c r="G37" s="205"/>
      <x:c r="H37" s="205"/>
    </x:row>
    <x:row r="38" ht="22" customHeight="1">
      <x:c r="A38" s="205"/>
      <x:c r="B38" s="205"/>
      <x:c r="C38" s="205"/>
      <x:c r="D38" s="205"/>
      <x:c r="E38" s="205"/>
      <x:c r="F38" s="205"/>
      <x:c r="G38" s="205"/>
      <x:c r="H38" s="205"/>
    </x:row>
    <x:row r="39" ht="22" customHeight="1">
      <x:c r="A39" s="205"/>
      <x:c r="B39" s="205"/>
      <x:c r="C39" s="205"/>
      <x:c r="D39" s="205"/>
      <x:c r="E39" s="205"/>
      <x:c r="F39" s="205"/>
      <x:c r="G39" s="205"/>
      <x:c r="H39" s="205"/>
    </x:row>
  </x:sheetData>
  <x:mergeCells>
    <x:mergeCell ref="A1:H2"/>
    <x:mergeCell ref="A3:H3"/>
    <x:mergeCell ref="A6:B7"/>
    <x:mergeCell ref="C6:D7"/>
    <x:mergeCell ref="E6:F7"/>
    <x:mergeCell ref="G6:H7"/>
    <x:mergeCell ref="A9:H9"/>
    <x:mergeCell ref="C10:H10"/>
    <x:mergeCell ref="C11:H11"/>
    <x:mergeCell ref="C12:H12"/>
    <x:mergeCell ref="C13:H13"/>
    <x:mergeCell ref="A15:H15"/>
    <x:mergeCell ref="A16:C16"/>
    <x:mergeCell ref="E16:G16"/>
    <x:mergeCell ref="A17:C17"/>
    <x:mergeCell ref="E17:G17"/>
    <x:mergeCell ref="A18:C18"/>
    <x:mergeCell ref="E18:G18"/>
    <x:mergeCell ref="A19:C19"/>
    <x:mergeCell ref="E19:G19"/>
    <x:mergeCell ref="A20:C20"/>
    <x:mergeCell ref="E20:G20"/>
    <x:mergeCell ref="A21:C21"/>
    <x:mergeCell ref="E21:G21"/>
    <x:mergeCell ref="A22:C22"/>
    <x:mergeCell ref="E22:G22"/>
    <x:mergeCell ref="A23:H23"/>
  </x:mergeCells>
  <x:conditionalFormatting sqref="D17:D22">
    <x:cfRule type="containsText" dxfId="0" priority="1" operator="containsText" text="перенос подтверждён"/>
  </x:conditionalFormatting>
  <x:pageMargins left="0.7" right="0.7" top="0.75" bottom="0.75" header="0.3" footer="0.3"/>
  <x:drawing xmlns:r="http://schemas.openxmlformats.org/officeDocument/2006/relationships" r:id="R30d382126af5420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21" hidden="0" customWidth="1"/>
    <x:col min="4" max="4" width="48" hidden="0" customWidth="1"/>
  </x:cols>
  <x:sheetData>
    <x:row r="1">
      <x:c r="A1" s="201" t="str">
        <x:v>Паспорт фьючерсного контракта</x:v>
      </x:c>
      <x:c r="B1" s="201" t="str">
        <x:v>Паспорт фьючерсного контракта</x:v>
      </x:c>
      <x:c r="C1" s="201" t="str">
        <x:v>Паспорт фьючерсного контракта</x:v>
      </x:c>
      <x:c r="D1" s="201" t="str">
        <x:v>Паспорт фьючерсного контракта</x:v>
      </x:c>
    </x:row>
    <x:row r="2">
      <x:c r="A2" s="201" t="str">
        <x:v>Паспорт фьючерсного контракта</x:v>
      </x:c>
      <x:c r="B2" s="201" t="str">
        <x:v>Паспорт фьючерсного контракта</x:v>
      </x:c>
      <x:c r="C2" s="201" t="str">
        <x:v>Паспорт фьючерсного контракта</x:v>
      </x:c>
      <x:c r="D2" s="201" t="str">
        <x:v>Паспорт фьючерсного контракта</x:v>
      </x:c>
    </x:row>
    <x:row r="3" ht="42" customHeight="1">
      <x:c r="A3" s="202" t="str">
        <x:v>Синие значения переносите из текущего ответа MOEX ISS. Всегда сохраняйте SECID, URL и время среза.</x:v>
      </x:c>
      <x:c r="B3" s="203" t="str">
        <x:v>Синие значения переносите из текущего ответа MOEX ISS. Всегда сохраняйте SECID, URL и время среза.</x:v>
      </x:c>
      <x:c r="C3" s="203" t="str">
        <x:v>Синие значения переносите из текущего ответа MOEX ISS. Всегда сохраняйте SECID, URL и время среза.</x:v>
      </x:c>
      <x:c r="D3" s="204" t="str">
        <x:v>Синие значения переносите из текущего ответа MOEX ISS. Всегда сохраняйте SECID, URL и время среза.</x:v>
      </x:c>
    </x:row>
    <x:row r="4">
      <x:c r="A4" s="205"/>
      <x:c r="B4" s="205"/>
      <x:c r="C4" s="205"/>
      <x:c r="D4" s="205"/>
    </x:row>
    <x:row r="5">
      <x:c r="A5" s="229" t="str">
        <x:v>Поле</x:v>
      </x:c>
      <x:c r="B5" s="230" t="str">
        <x:v>Значение</x:v>
      </x:c>
      <x:c r="C5" s="230" t="str">
        <x:v>Единица</x:v>
      </x:c>
      <x:c r="D5" s="231" t="str">
        <x:v>Пояснение / источник</x:v>
      </x:c>
    </x:row>
    <x:row r="6" ht="32" customHeight="1">
      <x:c r="A6" s="217" t="str">
        <x:v>SECID</x:v>
      </x:c>
      <x:c r="B6" s="242"/>
      <x:c r="C6" s="219" t="str">
        <x:v>код</x:v>
      </x:c>
      <x:c r="D6" s="220" t="str">
        <x:v>Точный идентификатор активной серии</x:v>
      </x:c>
    </x:row>
    <x:row r="7" ht="32" customHeight="1">
      <x:c r="A7" s="221" t="str">
        <x:v>Время среза</x:v>
      </x:c>
      <x:c r="B7" s="243"/>
      <x:c r="C7" s="223" t="str">
        <x:v>дата и время</x:v>
      </x:c>
      <x:c r="D7" s="224" t="str">
        <x:v>Поле SYSTIME и время получения ответа</x:v>
      </x:c>
    </x:row>
    <x:row r="8" ht="32" customHeight="1">
      <x:c r="A8" s="221" t="str">
        <x:v>Source URL</x:v>
      </x:c>
      <x:c r="B8" s="243"/>
      <x:c r="C8" s="223" t="str">
        <x:v>URL</x:v>
      </x:c>
      <x:c r="D8" s="224" t="str">
        <x:v>Прямой URL ответа MOEX ISS</x:v>
      </x:c>
    </x:row>
    <x:row r="9" ht="32" customHeight="1">
      <x:c r="A9" s="221" t="str">
        <x:v>Краткое название</x:v>
      </x:c>
      <x:c r="B9" s="243"/>
      <x:c r="C9" s="223" t="str">
        <x:v>текст</x:v>
      </x:c>
      <x:c r="D9" s="224" t="str">
        <x:v>SHORTNAME</x:v>
      </x:c>
    </x:row>
    <x:row r="10" ht="32" customHeight="1">
      <x:c r="A10" s="221" t="str">
        <x:v>Базовый актив</x:v>
      </x:c>
      <x:c r="B10" s="243"/>
      <x:c r="C10" s="223" t="str">
        <x:v>код</x:v>
      </x:c>
      <x:c r="D10" s="224" t="str">
        <x:v>ASSETCODE</x:v>
      </x:c>
    </x:row>
    <x:row r="11" ht="32" customHeight="1">
      <x:c r="A11" s="221" t="str">
        <x:v>Наблюдаемая цена LAST</x:v>
      </x:c>
      <x:c r="B11" s="244"/>
      <x:c r="C11" s="223" t="str">
        <x:v>пункты котировки</x:v>
      </x:c>
      <x:c r="D11" s="224" t="str">
        <x:v>Не гарантированная цена исполнения</x:v>
      </x:c>
    </x:row>
    <x:row r="12" ht="32" customHeight="1">
      <x:c r="A12" s="221" t="str">
        <x:v>Предыдущая расчётная цена</x:v>
      </x:c>
      <x:c r="B12" s="244"/>
      <x:c r="C12" s="223" t="str">
        <x:v>пункты котировки</x:v>
      </x:c>
      <x:c r="D12" s="224" t="str">
        <x:v>PREVSETTLEPRICE</x:v>
      </x:c>
    </x:row>
    <x:row r="13" ht="32" customHeight="1">
      <x:c r="A13" s="221" t="str">
        <x:v>Минимальный шаг цены</x:v>
      </x:c>
      <x:c r="B13" s="244"/>
      <x:c r="C13" s="223" t="str">
        <x:v>пункты котировки</x:v>
      </x:c>
      <x:c r="D13" s="224" t="str">
        <x:v>MINSTEP</x:v>
      </x:c>
    </x:row>
    <x:row r="14" ht="32" customHeight="1">
      <x:c r="A14" s="221" t="str">
        <x:v>Стоимость шага</x:v>
      </x:c>
      <x:c r="B14" s="244"/>
      <x:c r="C14" s="223" t="str">
        <x:v>₽/контракт</x:v>
      </x:c>
      <x:c r="D14" s="224" t="str">
        <x:v>STEPPRICE; проверить спецификацию</x:v>
      </x:c>
    </x:row>
    <x:row r="15" ht="32" customHeight="1">
      <x:c r="A15" s="221" t="str">
        <x:v>Объём лота</x:v>
      </x:c>
      <x:c r="B15" s="244"/>
      <x:c r="C15" s="223" t="str">
        <x:v>единиц базового актива</x:v>
      </x:c>
      <x:c r="D15" s="224" t="str">
        <x:v>LOTVOLUME; смысл зависит от контракта</x:v>
      </x:c>
    </x:row>
    <x:row r="16" ht="32" customHeight="1">
      <x:c r="A16" s="221" t="str">
        <x:v>Гарантийное обеспечение</x:v>
      </x:c>
      <x:c r="B16" s="244"/>
      <x:c r="C16" s="223" t="str">
        <x:v>₽/контракт</x:v>
      </x:c>
      <x:c r="D16" s="224" t="str">
        <x:v>INITIALMARGIN; не цена и не максимум убытка</x:v>
      </x:c>
    </x:row>
    <x:row r="17" ht="32" customHeight="1">
      <x:c r="A17" s="221" t="str">
        <x:v>Последний день торговли</x:v>
      </x:c>
      <x:c r="B17" s="245"/>
      <x:c r="C17" s="223" t="str">
        <x:v>дата</x:v>
      </x:c>
      <x:c r="D17" s="224" t="str">
        <x:v>LASTTRADEDATE</x:v>
      </x:c>
    </x:row>
    <x:row r="18" ht="32" customHeight="1">
      <x:c r="A18" s="221" t="str">
        <x:v>Дата исполнения</x:v>
      </x:c>
      <x:c r="B18" s="245"/>
      <x:c r="C18" s="223" t="str">
        <x:v>дата</x:v>
      </x:c>
      <x:c r="D18" s="224" t="str">
        <x:v>LASTDELDATE</x:v>
      </x:c>
    </x:row>
    <x:row r="19" ht="32" customHeight="1">
      <x:c r="A19" s="225" t="str">
        <x:v>Номинал 1 контракта</x:v>
      </x:c>
      <x:c r="B19" s="246"/>
      <x:c r="C19" s="227" t="str">
        <x:v>₽</x:v>
      </x:c>
      <x:c r="D19" s="228" t="str">
        <x:v>Вводить только после проверки формулы спецификации</x:v>
      </x:c>
    </x:row>
    <x:row r="20" ht="32" customHeight="1">
      <x:c r="A20" s="205"/>
      <x:c r="B20" s="205"/>
      <x:c r="C20" s="205"/>
      <x:c r="D20" s="205"/>
    </x:row>
    <x:row r="21" ht="32" customHeight="1">
      <x:c r="A21" s="216" t="str">
        <x:v>Терминологические проверки</x:v>
      </x:c>
      <x:c r="B21" s="216" t="str">
        <x:v>Терминологические проверки</x:v>
      </x:c>
      <x:c r="C21" s="216" t="str">
        <x:v>Терминологические проверки</x:v>
      </x:c>
      <x:c r="D21" s="216" t="str">
        <x:v>Терминологические проверки</x:v>
      </x:c>
    </x:row>
    <x:row r="22" ht="32" customHeight="1">
      <x:c r="A22" s="217" t="str">
        <x:v>ГО</x:v>
      </x:c>
      <x:c r="B22" s="219" t="str">
        <x:v>Текущий параметр обеспечения</x:v>
      </x:c>
      <x:c r="C22" s="219"/>
      <x:c r="D22" s="220" t="str">
        <x:v>Не равно цене контракта</x:v>
      </x:c>
    </x:row>
    <x:row r="23" ht="32" customHeight="1">
      <x:c r="A23" s="221" t="str">
        <x:v>LAST</x:v>
      </x:c>
      <x:c r="B23" s="223" t="str">
        <x:v>Наблюдаемое значение</x:v>
      </x:c>
      <x:c r="C23" s="223"/>
      <x:c r="D23" s="224" t="str">
        <x:v>Не гарантирует исполнение</x:v>
      </x:c>
    </x:row>
    <x:row r="24" ht="32" customHeight="1">
      <x:c r="A24" s="221" t="str">
        <x:v>Риск-бюджет</x:v>
      </x:c>
      <x:c r="B24" s="223" t="str">
        <x:v>Плановый лимит до сделки</x:v>
      </x:c>
      <x:c r="C24" s="223"/>
      <x:c r="D24" s="224" t="str">
        <x:v>Не максимально возможный убыток</x:v>
      </x:c>
    </x:row>
    <x:row r="25" ht="32" customHeight="1">
      <x:c r="A25" s="225" t="str">
        <x:v>Стоп</x:v>
      </x:c>
      <x:c r="B25" s="227" t="str">
        <x:v>Условие на отправку/исполнение заявки</x:v>
      </x:c>
      <x:c r="C25" s="227"/>
      <x:c r="D25" s="228" t="str">
        <x:v>Не гарантирует цену выхода</x:v>
      </x:c>
    </x:row>
  </x:sheetData>
  <x:mergeCells>
    <x:mergeCell ref="A1:D2"/>
    <x:mergeCell ref="A3:D3"/>
    <x:mergeCell ref="A21:D21"/>
    <x:mergeCell ref="B22:C22"/>
    <x:mergeCell ref="B23:C23"/>
    <x:mergeCell ref="B24:C24"/>
    <x:mergeCell ref="B25:C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18" hidden="0" customWidth="1"/>
    <x:col min="4" max="4" width="48" hidden="0" customWidth="1"/>
  </x:cols>
  <x:sheetData>
    <x:row r="1">
      <x:c r="A1" s="201" t="str">
        <x:v>Калькулятор риска и результата</x:v>
      </x:c>
      <x:c r="B1" s="201" t="str">
        <x:v>Калькулятор риска и результата</x:v>
      </x:c>
      <x:c r="C1" s="201" t="str">
        <x:v>Калькулятор риска и результата</x:v>
      </x:c>
      <x:c r="D1" s="201" t="str">
        <x:v>Калькулятор риска и результата</x:v>
      </x:c>
    </x:row>
    <x:row r="2">
      <x:c r="A2" s="201" t="str">
        <x:v>Калькулятор риска и результата</x:v>
      </x:c>
      <x:c r="B2" s="201" t="str">
        <x:v>Калькулятор риска и результата</x:v>
      </x:c>
      <x:c r="C2" s="201" t="str">
        <x:v>Калькулятор риска и результата</x:v>
      </x:c>
      <x:c r="D2" s="201" t="str">
        <x:v>Калькулятор риска и результата</x:v>
      </x:c>
    </x:row>
    <x:row r="3" ht="42" customHeight="1">
      <x:c r="A3" s="202" t="str">
        <x:v>Не называйте риск-бюджет максимальным убытком: стоп и исполнение не гарантируют этот предел.</x:v>
      </x:c>
      <x:c r="B3" s="203" t="str">
        <x:v>Не называйте риск-бюджет максимальным убытком: стоп и исполнение не гарантируют этот предел.</x:v>
      </x:c>
      <x:c r="C3" s="203" t="str">
        <x:v>Не называйте риск-бюджет максимальным убытком: стоп и исполнение не гарантируют этот предел.</x:v>
      </x:c>
      <x:c r="D3" s="204" t="str">
        <x:v>Не называйте риск-бюджет максимальным убытком: стоп и исполнение не гарантируют этот предел.</x:v>
      </x:c>
    </x:row>
    <x:row r="4">
      <x:c r="A4" s="205"/>
      <x:c r="B4" s="205"/>
      <x:c r="C4" s="205"/>
      <x:c r="D4" s="205"/>
    </x:row>
    <x:row r="5">
      <x:c r="A5" s="216" t="str">
        <x:v>План до сделки</x:v>
      </x:c>
      <x:c r="B5" s="216" t="str">
        <x:v>План до сделки</x:v>
      </x:c>
      <x:c r="C5" s="216" t="str">
        <x:v>План до сделки</x:v>
      </x:c>
      <x:c r="D5" s="216" t="str">
        <x:v>План до сделки</x:v>
      </x:c>
    </x:row>
    <x:row r="6" ht="30" customHeight="1">
      <x:c r="A6" s="324" t="str">
        <x:v>Капитал</x:v>
      </x:c>
      <x:c r="B6" s="246"/>
      <x:c r="C6" s="324" t="str">
        <x:v>₽</x:v>
      </x:c>
      <x:c r="D6" s="324" t="str">
        <x:v>Редактируемый вход</x:v>
      </x:c>
    </x:row>
    <x:row r="7" ht="30" customHeight="1">
      <x:c r="A7" s="324" t="str">
        <x:v>Риск-бюджет</x:v>
      </x:c>
      <x:c r="B7" s="325"/>
      <x:c r="C7" s="324" t="str">
        <x:v>₽</x:v>
      </x:c>
      <x:c r="D7" s="324" t="str">
        <x:v>Плановый лимит до сделки</x:v>
      </x:c>
    </x:row>
    <x:row r="8" ht="30" customHeight="1">
      <x:c r="A8" s="324" t="str">
        <x:v>Резерв к ГО</x:v>
      </x:c>
      <x:c r="B8" s="326" t="n">
        <x:v>1.2</x:v>
      </x:c>
      <x:c r="C8" s="324" t="str">
        <x:v>x</x:v>
      </x:c>
      <x:c r="D8" s="324" t="str">
        <x:v>Учебное допущение; согласовать отдельно</x:v>
      </x:c>
    </x:row>
    <x:row r="9" ht="30" customHeight="1">
      <x:c r="A9" s="324" t="str">
        <x:v>Плановая цена входа</x:v>
      </x:c>
      <x:c r="B9" s="327"/>
      <x:c r="C9" s="324" t="str">
        <x:v>пункты</x:v>
      </x:c>
      <x:c r="D9" s="324" t="str">
        <x:v>До сделки</x:v>
      </x:c>
    </x:row>
    <x:row r="10" ht="30" customHeight="1">
      <x:c r="A10" s="324" t="str">
        <x:v>Плановый стоп</x:v>
      </x:c>
      <x:c r="B10" s="327"/>
      <x:c r="C10" s="324" t="str">
        <x:v>пункты</x:v>
      </x:c>
      <x:c r="D10" s="324" t="str">
        <x:v>Не гарантированная цена исполнения</x:v>
      </x:c>
    </x:row>
    <x:row r="11" ht="30" customHeight="1">
      <x:c r="A11" s="324" t="str">
        <x:v>Направление</x:v>
      </x:c>
      <x:c r="B11" s="328"/>
      <x:c r="C11" s="324" t="str">
        <x:v>Лонг/Шорт</x:v>
      </x:c>
      <x:c r="D11" s="324" t="str">
        <x:v>Знак позиции</x:v>
      </x:c>
    </x:row>
    <x:row r="12" ht="30" customHeight="1">
      <x:c r="A12" s="324" t="str">
        <x:v>Комиссии на круг / контракт</x:v>
      </x:c>
      <x:c r="B12" s="329"/>
      <x:c r="C12" s="324" t="str">
        <x:v>₽</x:v>
      </x:c>
      <x:c r="D12" s="324" t="str">
        <x:v>Биржевые + брокерские</x:v>
      </x:c>
    </x:row>
    <x:row r="13" ht="30" customHeight="1">
      <x:c r="A13" s="324" t="str">
        <x:v>Плановое проскальзывание / контракт</x:v>
      </x:c>
      <x:c r="B13" s="329"/>
      <x:c r="C13" s="324" t="str">
        <x:v>₽</x:v>
      </x:c>
      <x:c r="D13" s="324" t="str">
        <x:v>Явное учебное допущение</x:v>
      </x:c>
    </x:row>
    <x:row r="14" ht="30" customHeight="1">
      <x:c r="A14" s="324" t="str">
        <x:v>Число контрактов — вручную</x:v>
      </x:c>
      <x:c r="B14" s="330"/>
      <x:c r="C14" s="324" t="str">
        <x:v>контрактов</x:v>
      </x:c>
      <x:c r="D14" s="324" t="str">
        <x:v>Выбор ученика</x:v>
      </x:c>
    </x:row>
    <x:row r="15" ht="30" customHeight="1">
      <x:c r="A15" s="324" t="str">
        <x:v>Число контрактов — расчётное</x:v>
      </x:c>
      <x:c r="B15" s="331" t="str">
        <x:f>IF(OR(B22="",B23=""),"",MIN(B22,B23))</x:f>
      </x:c>
      <x:c r="C15" s="324" t="str">
        <x:v>контрактов</x:v>
      </x:c>
      <x:c r="D15" s="324" t="str">
        <x:v>Минимум ограничений по риску и ГО</x:v>
      </x:c>
    </x:row>
    <x:row r="16" ht="30" customHeight="1">
      <x:c r="A16" s="324"/>
      <x:c r="B16" s="324"/>
      <x:c r="C16" s="324"/>
      <x:c r="D16" s="324"/>
    </x:row>
    <x:row r="17" ht="30" customHeight="1">
      <x:c r="A17" s="332" t="str">
        <x:v>Расчёт плана</x:v>
      </x:c>
      <x:c r="B17" s="332" t="str">
        <x:v>Расчёт плана</x:v>
      </x:c>
      <x:c r="C17" s="332" t="str">
        <x:v>Расчёт плана</x:v>
      </x:c>
      <x:c r="D17" s="332" t="str">
        <x:v>Расчёт плана</x:v>
      </x:c>
    </x:row>
    <x:row r="18" ht="30" customHeight="1">
      <x:c r="A18" s="324" t="str">
        <x:v>Дистанция до стопа</x:v>
      </x:c>
      <x:c r="B18" s="333" t="str">
        <x:f>IF(OR(B9="",B10=""),"",ABS(B9-B10))</x:f>
      </x:c>
      <x:c r="C18" s="324" t="str">
        <x:v>пунктов</x:v>
      </x:c>
      <x:c r="D18" s="324" t="str">
        <x:v>ABS(вход − стоп)</x:v>
      </x:c>
    </x:row>
    <x:row r="19" ht="30" customHeight="1">
      <x:c r="A19" s="324" t="str">
        <x:v>Убыток до стопа / контракт</x:v>
      </x:c>
      <x:c r="B19" s="334" t="str">
        <x:f>IF(OR(B18="",'Контракт'!$B$13&lt;=0,'Контракт'!$B$14&lt;=0),"",B18/'Контракт'!$B$13*'Контракт'!$B$14)</x:f>
      </x:c>
      <x:c r="C19" s="324" t="str">
        <x:v>₽</x:v>
      </x:c>
      <x:c r="D19" s="324" t="str">
        <x:v>До комиссий и проскальзывания</x:v>
      </x:c>
    </x:row>
    <x:row r="20" ht="30" customHeight="1">
      <x:c r="A20" s="324" t="str">
        <x:v>Планируемый убыток до стопа</x:v>
      </x:c>
      <x:c r="B20" s="334" t="str">
        <x:f>IF(OR(B19="",B14=""),"",B19*B14+(B12+B13)*B14)</x:f>
      </x:c>
      <x:c r="C20" s="324" t="str">
        <x:v>₽</x:v>
      </x:c>
      <x:c r="D20" s="324" t="str">
        <x:v>С учётом плановых издержек</x:v>
      </x:c>
    </x:row>
    <x:row r="21" ht="30" customHeight="1">
      <x:c r="A21" s="324" t="str">
        <x:v>Запас риск-бюджета</x:v>
      </x:c>
      <x:c r="B21" s="334" t="str">
        <x:f>IF(OR(B7="",B20=""),"",B7-B20)</x:f>
      </x:c>
      <x:c r="C21" s="324" t="str">
        <x:v>₽</x:v>
      </x:c>
      <x:c r="D21" s="324" t="str">
        <x:v>Риск-бюджет − планируемый убыток</x:v>
      </x:c>
    </x:row>
    <x:row r="22" ht="30" customHeight="1">
      <x:c r="A22" s="324" t="str">
        <x:v>Лимит контрактов по риск-бюджету</x:v>
      </x:c>
      <x:c r="B22" s="335" t="str">
        <x:f>IF(OR(B7="",B19="",B12="",B13=""),"",IFERROR(INT(B7/(B19+B12+B13)),""))</x:f>
      </x:c>
      <x:c r="C22" s="324" t="str">
        <x:v>контрактов</x:v>
      </x:c>
      <x:c r="D22" s="324" t="str">
        <x:v>Не использовать до введения метода</x:v>
      </x:c>
    </x:row>
    <x:row r="23" ht="30" customHeight="1">
      <x:c r="A23" s="324" t="str">
        <x:v>Лимит контрактов по ГО</x:v>
      </x:c>
      <x:c r="B23" s="336" t="str">
        <x:f>IF(OR(B6="",'Контракт'!$B$16&lt;=0,B8&lt;=0),"",IFERROR(INT(B6/('Контракт'!$B$16*B8)),""))</x:f>
      </x:c>
      <x:c r="C23" s="324" t="str">
        <x:v>контрактов</x:v>
      </x:c>
      <x:c r="D23" s="324" t="str">
        <x:v>Текущее ГО × резерв</x:v>
      </x:c>
    </x:row>
    <x:row r="24" ht="30" customHeight="1">
      <x:c r="A24" s="324"/>
      <x:c r="B24" s="324"/>
      <x:c r="C24" s="324"/>
      <x:c r="D24" s="324"/>
    </x:row>
    <x:row r="25" ht="30" customHeight="1">
      <x:c r="A25" s="332" t="str">
        <x:v>Учебное исполнение после сделки</x:v>
      </x:c>
      <x:c r="B25" s="332" t="str">
        <x:v>Учебное исполнение после сделки</x:v>
      </x:c>
      <x:c r="C25" s="332" t="str">
        <x:v>Учебное исполнение после сделки</x:v>
      </x:c>
      <x:c r="D25" s="332" t="str">
        <x:v>Учебное исполнение после сделки</x:v>
      </x:c>
    </x:row>
    <x:row r="26" ht="30" customHeight="1">
      <x:c r="A26" s="324" t="str">
        <x:v>Фактическая цена входа</x:v>
      </x:c>
      <x:c r="B26" s="337"/>
      <x:c r="C26" s="324" t="str">
        <x:v>пункты</x:v>
      </x:c>
      <x:c r="D26" s="324" t="str">
        <x:v>После учебного исполнения</x:v>
      </x:c>
    </x:row>
    <x:row r="27" ht="30" customHeight="1">
      <x:c r="A27" s="324" t="str">
        <x:v>Фактическая цена выхода</x:v>
      </x:c>
      <x:c r="B27" s="329"/>
      <x:c r="C27" s="324" t="str">
        <x:v>пункты</x:v>
      </x:c>
      <x:c r="D27" s="324" t="str">
        <x:v>После учебного исполнения</x:v>
      </x:c>
    </x:row>
    <x:row r="28" ht="30" customHeight="1">
      <x:c r="A28" s="324" t="str">
        <x:v>Фактические комиссии</x:v>
      </x:c>
      <x:c r="B28" s="329"/>
      <x:c r="C28" s="324" t="str">
        <x:v>₽</x:v>
      </x:c>
      <x:c r="D28" s="324" t="str">
        <x:v>Не прятать внутри цены</x:v>
      </x:c>
    </x:row>
    <x:row r="29" ht="30" customHeight="1">
      <x:c r="A29" s="324" t="str">
        <x:v>Фактическое проскальзывание</x:v>
      </x:c>
      <x:c r="B29" s="338"/>
      <x:c r="C29" s="324" t="str">
        <x:v>₽</x:v>
      </x:c>
      <x:c r="D29" s="324" t="str">
        <x:v>Не прятать внутри цены</x:v>
      </x:c>
    </x:row>
    <x:row r="30" ht="30" customHeight="1">
      <x:c r="A30" s="324" t="str">
        <x:v>Валовый результат</x:v>
      </x:c>
      <x:c r="B30" s="339" t="str">
        <x:f>IF(OR(B26="",B27="",B14="",B11="",'Контракт'!$B$13&lt;=0,'Контракт'!$B$14&lt;=0),"",IF(B11="Лонг",1,-1)*(B27-B26)/'Контракт'!$B$13*'Контракт'!$B$14*B14)</x:f>
      </x:c>
      <x:c r="C30" s="324" t="str">
        <x:v>₽</x:v>
      </x:c>
      <x:c r="D30" s="324" t="str">
        <x:v>До издержек</x:v>
      </x:c>
    </x:row>
    <x:row r="31" ht="30" customHeight="1">
      <x:c r="A31" s="324" t="str">
        <x:v>Фактический результат</x:v>
      </x:c>
      <x:c r="B31" s="340" t="str">
        <x:f>IF(OR(B30="",B28="",B29=""),"",B30-B28-B29)</x:f>
      </x:c>
      <x:c r="C31" s="324" t="str">
        <x:v>₽</x:v>
      </x:c>
      <x:c r="D31" s="324" t="str">
        <x:v>После комиссий и проскальзывания</x:v>
      </x:c>
    </x:row>
    <x:row r="32" ht="30" customHeight="1">
      <x:c r="A32" s="324" t="str">
        <x:v>Фактический убыток</x:v>
      </x:c>
      <x:c r="B32" s="340" t="str">
        <x:f>IF(B31="","",MAX(0,-B31))</x:f>
      </x:c>
      <x:c r="C32" s="324" t="str">
        <x:v>₽</x:v>
      </x:c>
      <x:c r="D32" s="324" t="str">
        <x:v>Только отрицательная часть результата</x:v>
      </x:c>
    </x:row>
    <x:row r="33" ht="30" customHeight="1">
      <x:c r="A33" s="324" t="str">
        <x:v>Превышен риск-бюджет?</x:v>
      </x:c>
      <x:c r="B33" s="341" t="str">
        <x:f>IF(OR(B32="",B7=""),"",IF(B32&gt;B7,"Да","Нет"))</x:f>
      </x:c>
      <x:c r="C33" s="324" t="str">
        <x:v>Да/Нет</x:v>
      </x:c>
      <x:c r="D33" s="324" t="str">
        <x:v>Сравнение, не обещание предела</x:v>
      </x:c>
    </x:row>
    <x:row r="34" ht="30" customHeight="1">
      <x:c r="A34" s="324" t="str">
        <x:v>Максимально возможный убыток</x:v>
      </x:c>
      <x:c r="B34" s="341" t="str">
        <x:f>"Не определён: нужен отдельный сценарий и границы инструмента"</x:f>
        <x:v>Не определён: нужен отдельный сценарий и границы инструмента</x:v>
      </x:c>
      <x:c r="C34" s="324" t="str">
        <x:v>—</x:v>
      </x:c>
      <x:c r="D34" s="324" t="str">
        <x:v>Не определяется автоматически</x:v>
      </x:c>
    </x:row>
    <x:row r="35" ht="30" customHeight="1">
      <x:c r="A35" s="324" t="str">
        <x:v>Контроль единиц</x:v>
      </x:c>
      <x:c r="B35" s="342" t="str">
        <x:f>IF(AND('Контракт'!$B$13&gt;0,'Контракт'!$B$14&gt;0),"OK","Проверить")</x:f>
        <x:v>Проверить</x:v>
      </x:c>
      <x:c r="C35" s="324" t="str">
        <x:v>OK/Проверить</x:v>
      </x:c>
      <x:c r="D35" s="324" t="str">
        <x:v>MINSTEP и STEPPRICE заполнены</x:v>
      </x:c>
    </x:row>
  </x:sheetData>
  <x:mergeCells>
    <x:mergeCell ref="A1:D2"/>
    <x:mergeCell ref="A3:D3"/>
    <x:mergeCell ref="A5:D5"/>
    <x:mergeCell ref="A17:D17"/>
    <x:mergeCell ref="A25:D25"/>
  </x:mergeCells>
  <x:conditionalFormatting sqref="B33:B33">
    <x:cfRule type="containsText" dxfId="1" priority="1" operator="containsText" text="Да"/>
  </x:conditionalFormatting>
  <x:dataValidations count="1">
    <x:dataValidation type="list" sqref="B11">
      <x:formula1>"Лонг,Шорт"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14" hidden="0" customWidth="1"/>
    <x:col min="5" max="5" width="3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0" hidden="0" customWidth="1"/>
    <x:col min="23" max="23" width="34" hidden="0" customWidth="1"/>
  </x:cols>
  <x:sheetData>
    <x:row r="1">
      <x:c r="A1" s="201" t="str">
        <x:v>Журнал бумажных сделок</x:v>
      </x:c>
      <x:c r="B1" s="201" t="str">
        <x:v>Журнал бумажных сделок</x:v>
      </x:c>
      <x:c r="C1" s="201" t="str">
        <x:v>Журнал бумажных сделок</x:v>
      </x:c>
      <x:c r="D1" s="201" t="str">
        <x:v>Журнал бумажных сделок</x:v>
      </x:c>
      <x:c r="E1" s="201" t="str">
        <x:v>Журнал бумажных сделок</x:v>
      </x:c>
      <x:c r="F1" s="201" t="str">
        <x:v>Журнал бумажных сделок</x:v>
      </x:c>
      <x:c r="G1" s="201" t="str">
        <x:v>Журнал бумажных сделок</x:v>
      </x:c>
      <x:c r="H1" s="201" t="str">
        <x:v>Журнал бумажных сделок</x:v>
      </x:c>
      <x:c r="I1" s="201" t="str">
        <x:v>Журнал бумажных сделок</x:v>
      </x:c>
      <x:c r="J1" s="201" t="str">
        <x:v>Журнал бумажных сделок</x:v>
      </x:c>
      <x:c r="K1" s="201" t="str">
        <x:v>Журнал бумажных сделок</x:v>
      </x:c>
      <x:c r="L1" s="201" t="str">
        <x:v>Журнал бумажных сделок</x:v>
      </x:c>
      <x:c r="M1" s="201" t="str">
        <x:v>Журнал бумажных сделок</x:v>
      </x:c>
      <x:c r="N1" s="201" t="str">
        <x:v>Журнал бумажных сделок</x:v>
      </x:c>
      <x:c r="O1" s="201" t="str">
        <x:v>Журнал бумажных сделок</x:v>
      </x:c>
      <x:c r="P1" s="201" t="str">
        <x:v>Журнал бумажных сделок</x:v>
      </x:c>
      <x:c r="Q1" s="201" t="str">
        <x:v>Журнал бумажных сделок</x:v>
      </x:c>
      <x:c r="R1" s="201" t="str">
        <x:v>Журнал бумажных сделок</x:v>
      </x:c>
      <x:c r="S1" s="201" t="str">
        <x:v>Журнал бумажных сделок</x:v>
      </x:c>
      <x:c r="T1" s="201" t="str">
        <x:v>Журнал бумажных сделок</x:v>
      </x:c>
      <x:c r="U1" s="201" t="str">
        <x:v>Журнал бумажных сделок</x:v>
      </x:c>
      <x:c r="V1" s="201" t="str">
        <x:v>Журнал бумажных сделок</x:v>
      </x:c>
      <x:c r="W1" s="201" t="str">
        <x:v>Журнал бумажных сделок</x:v>
      </x:c>
    </x:row>
    <x:row r="2">
      <x:c r="A2" s="201" t="str">
        <x:v>Журнал бумажных сделок</x:v>
      </x:c>
      <x:c r="B2" s="201" t="str">
        <x:v>Журнал бумажных сделок</x:v>
      </x:c>
      <x:c r="C2" s="201" t="str">
        <x:v>Журнал бумажных сделок</x:v>
      </x:c>
      <x:c r="D2" s="201" t="str">
        <x:v>Журнал бумажных сделок</x:v>
      </x:c>
      <x:c r="E2" s="201" t="str">
        <x:v>Журнал бумажных сделок</x:v>
      </x:c>
      <x:c r="F2" s="201" t="str">
        <x:v>Журнал бумажных сделок</x:v>
      </x:c>
      <x:c r="G2" s="201" t="str">
        <x:v>Журнал бумажных сделок</x:v>
      </x:c>
      <x:c r="H2" s="201" t="str">
        <x:v>Журнал бумажных сделок</x:v>
      </x:c>
      <x:c r="I2" s="201" t="str">
        <x:v>Журнал бумажных сделок</x:v>
      </x:c>
      <x:c r="J2" s="201" t="str">
        <x:v>Журнал бумажных сделок</x:v>
      </x:c>
      <x:c r="K2" s="201" t="str">
        <x:v>Журнал бумажных сделок</x:v>
      </x:c>
      <x:c r="L2" s="201" t="str">
        <x:v>Журнал бумажных сделок</x:v>
      </x:c>
      <x:c r="M2" s="201" t="str">
        <x:v>Журнал бумажных сделок</x:v>
      </x:c>
      <x:c r="N2" s="201" t="str">
        <x:v>Журнал бумажных сделок</x:v>
      </x:c>
      <x:c r="O2" s="201" t="str">
        <x:v>Журнал бумажных сделок</x:v>
      </x:c>
      <x:c r="P2" s="201" t="str">
        <x:v>Журнал бумажных сделок</x:v>
      </x:c>
      <x:c r="Q2" s="201" t="str">
        <x:v>Журнал бумажных сделок</x:v>
      </x:c>
      <x:c r="R2" s="201" t="str">
        <x:v>Журнал бумажных сделок</x:v>
      </x:c>
      <x:c r="S2" s="201" t="str">
        <x:v>Журнал бумажных сделок</x:v>
      </x:c>
      <x:c r="T2" s="201" t="str">
        <x:v>Журнал бумажных сделок</x:v>
      </x:c>
      <x:c r="U2" s="201" t="str">
        <x:v>Журнал бумажных сделок</x:v>
      </x:c>
      <x:c r="V2" s="201" t="str">
        <x:v>Журнал бумажных сделок</x:v>
      </x:c>
      <x:c r="W2" s="201" t="str">
        <x:v>Журнал бумажных сделок</x:v>
      </x:c>
    </x:row>
    <x:row r="3" ht="42" customHeight="1">
      <x:c r="A3" s="202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B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C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D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E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F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G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H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I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J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K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L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M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N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O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P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Q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R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S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T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U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V3" s="203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  <x:c r="W3" s="204" t="str">
        <x:v>Заполняйте план до сделки и фактическую часть после исполнения модели. Синие поля — ввод; формулы — чёрные; ссылки на лист «Контракт» — зелёные.</x:v>
      </x:c>
    </x:row>
    <x:row r="4">
      <x:c r="A4" s="205"/>
      <x:c r="B4" s="205"/>
      <x:c r="C4" s="205"/>
      <x:c r="D4" s="205"/>
      <x:c r="E4" s="205"/>
      <x:c r="F4" s="205"/>
      <x:c r="G4" s="205"/>
      <x:c r="H4" s="205"/>
      <x:c r="I4" s="205"/>
      <x:c r="J4" s="205"/>
      <x:c r="K4" s="205"/>
      <x:c r="L4" s="205"/>
      <x:c r="M4" s="205"/>
      <x:c r="N4" s="205"/>
      <x:c r="O4" s="205"/>
      <x:c r="P4" s="205"/>
      <x:c r="Q4" s="205"/>
      <x:c r="R4" s="205"/>
      <x:c r="S4" s="205"/>
      <x:c r="T4" s="205"/>
      <x:c r="U4" s="205"/>
      <x:c r="V4" s="205"/>
      <x:c r="W4" s="205"/>
    </x:row>
    <x:row r="5" ht="38" customHeight="1">
      <x:c r="A5" s="265" t="str">
        <x:v>План до сделки</x:v>
      </x:c>
      <x:c r="B5" s="265" t="str">
        <x:v>План до сделки</x:v>
      </x:c>
      <x:c r="C5" s="265" t="str">
        <x:v>План до сделки</x:v>
      </x:c>
      <x:c r="D5" s="265" t="str">
        <x:v>План до сделки</x:v>
      </x:c>
      <x:c r="E5" s="265" t="str">
        <x:v>План до сделки</x:v>
      </x:c>
      <x:c r="F5" s="265" t="str">
        <x:v>План до сделки</x:v>
      </x:c>
      <x:c r="G5" s="265" t="str">
        <x:v>План до сделки</x:v>
      </x:c>
      <x:c r="H5" s="265" t="str">
        <x:v>План до сделки</x:v>
      </x:c>
      <x:c r="I5" s="265" t="str">
        <x:v>План до сделки</x:v>
      </x:c>
      <x:c r="J5" s="265" t="str">
        <x:v>План до сделки</x:v>
      </x:c>
      <x:c r="K5" s="265" t="str">
        <x:v>Учебное исполнение и параметры</x:v>
      </x:c>
      <x:c r="L5" s="265" t="str">
        <x:v>Учебное исполнение и параметры</x:v>
      </x:c>
      <x:c r="M5" s="265" t="str">
        <x:v>Учебное исполнение и параметры</x:v>
      </x:c>
      <x:c r="N5" s="265" t="str">
        <x:v>Учебное исполнение и параметры</x:v>
      </x:c>
      <x:c r="O5" s="265" t="str">
        <x:v>Учебное исполнение и параметры</x:v>
      </x:c>
      <x:c r="P5" s="265" t="str">
        <x:v>Учебное исполнение и параметры</x:v>
      </x:c>
      <x:c r="Q5" s="265" t="str">
        <x:v>Учебное исполнение и параметры</x:v>
      </x:c>
      <x:c r="R5" s="265" t="str">
        <x:v>Учебное исполнение и параметры</x:v>
      </x:c>
      <x:c r="S5" s="265" t="str">
        <x:v>Результат и разбор</x:v>
      </x:c>
      <x:c r="T5" s="265" t="str">
        <x:v>Результат и разбор</x:v>
      </x:c>
      <x:c r="U5" s="265" t="str">
        <x:v>Результат и разбор</x:v>
      </x:c>
      <x:c r="V5" s="265" t="str">
        <x:v>Результат и разбор</x:v>
      </x:c>
      <x:c r="W5" s="265" t="str">
        <x:v>Результат и разбор</x:v>
      </x:c>
    </x:row>
    <x:row r="6" ht="38" customHeight="1">
      <x:c r="A6" s="229" t="str">
        <x:v>№</x:v>
      </x:c>
      <x:c r="B6" s="230" t="str">
        <x:v>Дата</x:v>
      </x:c>
      <x:c r="C6" s="230" t="str">
        <x:v>SECID</x:v>
      </x:c>
      <x:c r="D6" s="230" t="str">
        <x:v>Направление</x:v>
      </x:c>
      <x:c r="E6" s="230" t="str">
        <x:v>Учебная гипотеза</x:v>
      </x:c>
      <x:c r="F6" s="230" t="str">
        <x:v>Плановый вход</x:v>
      </x:c>
      <x:c r="G6" s="230" t="str">
        <x:v>Плановый стоп</x:v>
      </x:c>
      <x:c r="H6" s="230" t="str">
        <x:v>Контрактов</x:v>
      </x:c>
      <x:c r="I6" s="230" t="str">
        <x:v>Риск-бюджет</x:v>
      </x:c>
      <x:c r="J6" s="230" t="str">
        <x:v>Планируемый убыток до стопа</x:v>
      </x:c>
      <x:c r="K6" s="230" t="str">
        <x:v>Плановые комиссии</x:v>
      </x:c>
      <x:c r="L6" s="230" t="str">
        <x:v>Плановое проскальзывание</x:v>
      </x:c>
      <x:c r="M6" s="230" t="str">
        <x:v>Фактический вход</x:v>
      </x:c>
      <x:c r="N6" s="230" t="str">
        <x:v>Фактический выход</x:v>
      </x:c>
      <x:c r="O6" s="230" t="str">
        <x:v>Фактические комиссии</x:v>
      </x:c>
      <x:c r="P6" s="230" t="str">
        <x:v>Фактическое проскальзывание</x:v>
      </x:c>
      <x:c r="Q6" s="230" t="str">
        <x:v>MINSTEP</x:v>
      </x:c>
      <x:c r="R6" s="230" t="str">
        <x:v>STEPPRICE</x:v>
      </x:c>
      <x:c r="S6" s="230" t="str">
        <x:v>Валовый результат</x:v>
      </x:c>
      <x:c r="T6" s="230" t="str">
        <x:v>Результат после издержек</x:v>
      </x:c>
      <x:c r="U6" s="230" t="str">
        <x:v>Риск-бюджет превышен?</x:v>
      </x:c>
      <x:c r="V6" s="230" t="str">
        <x:v>Качество решения</x:v>
      </x:c>
      <x:c r="W6" s="231" t="str">
        <x:v>Ошибка / следующий шаг</x:v>
      </x:c>
    </x:row>
    <x:row r="7">
      <x:c r="A7" s="343" t="str">
        <x:f>IF(B7="","",ROW()-6)</x:f>
      </x:c>
      <x:c r="B7" s="344"/>
      <x:c r="C7" s="345"/>
      <x:c r="D7" s="345"/>
      <x:c r="E7" s="345"/>
      <x:c r="F7" s="346"/>
      <x:c r="G7" s="346"/>
      <x:c r="H7" s="346"/>
      <x:c r="I7" s="347"/>
      <x:c r="J7" s="339" t="str">
        <x:f>IF(OR(F7="",G7="",H7="",Q7="",R7=""),"",ABS(F7-G7)/Q7*R7*H7+K7+L7)</x:f>
      </x:c>
      <x:c r="K7" s="348"/>
      <x:c r="L7" s="346"/>
      <x:c r="M7" s="346"/>
      <x:c r="N7" s="346"/>
      <x:c r="O7" s="346"/>
      <x:c r="P7" s="347"/>
      <x:c r="Q7" s="349" t="str">
        <x:f>IF(C7="","",'Контракт'!$B$13)</x:f>
      </x:c>
      <x:c r="R7" s="350" t="str">
        <x:f>IF(C7="","",'Контракт'!$B$14)</x:f>
      </x:c>
      <x:c r="S7" s="351" t="str">
        <x:f>IF(OR(D7="",M7="",N7="",H7="",Q7="",R7=""),"",IF(D7="Лонг",1,-1)*(N7-M7)/Q7*R7*H7)</x:f>
      </x:c>
      <x:c r="T7" s="352" t="str">
        <x:f>IF(S7="","",S7-O7-P7)</x:f>
      </x:c>
      <x:c r="U7" s="353" t="str">
        <x:f>IF(T7="","",IF(MAX(0,-T7)&gt;I7,"Да","Нет"))</x:f>
      </x:c>
      <x:c r="V7" s="354"/>
      <x:c r="W7" s="355"/>
    </x:row>
    <x:row r="8">
      <x:c r="A8" s="341" t="str">
        <x:f>IF(B8="","",ROW()-6)</x:f>
      </x:c>
      <x:c r="B8" s="356"/>
      <x:c r="C8" s="357"/>
      <x:c r="D8" s="357"/>
      <x:c r="E8" s="357"/>
      <x:c r="F8" s="358"/>
      <x:c r="G8" s="358"/>
      <x:c r="H8" s="358"/>
      <x:c r="I8" s="359"/>
      <x:c r="J8" s="340" t="str">
        <x:f>IF(OR(F8="",G8="",H8="",Q8="",R8=""),"",ABS(F8-G8)/Q8*R8*H8+K8+L8)</x:f>
      </x:c>
      <x:c r="K8" s="360"/>
      <x:c r="L8" s="358"/>
      <x:c r="M8" s="358"/>
      <x:c r="N8" s="358"/>
      <x:c r="O8" s="358"/>
      <x:c r="P8" s="359"/>
      <x:c r="Q8" s="361" t="str">
        <x:f>IF(C8="","",'Контракт'!$B$13)</x:f>
      </x:c>
      <x:c r="R8" s="362" t="str">
        <x:f>IF(C8="","",'Контракт'!$B$14)</x:f>
      </x:c>
      <x:c r="S8" s="363" t="str">
        <x:f>IF(OR(D8="",M8="",N8="",H8="",Q8="",R8=""),"",IF(D8="Лонг",1,-1)*(N8-M8)/Q8*R8*H8)</x:f>
      </x:c>
      <x:c r="T8" s="364" t="str">
        <x:f>IF(S8="","",S8-O8-P8)</x:f>
      </x:c>
      <x:c r="U8" s="365" t="str">
        <x:f>IF(T8="","",IF(MAX(0,-T8)&gt;I8,"Да","Нет"))</x:f>
      </x:c>
      <x:c r="V8" s="366"/>
      <x:c r="W8" s="367"/>
    </x:row>
    <x:row r="9">
      <x:c r="A9" s="341" t="str">
        <x:f>IF(B9="","",ROW()-6)</x:f>
      </x:c>
      <x:c r="B9" s="356"/>
      <x:c r="C9" s="357"/>
      <x:c r="D9" s="357"/>
      <x:c r="E9" s="357"/>
      <x:c r="F9" s="358"/>
      <x:c r="G9" s="358"/>
      <x:c r="H9" s="358"/>
      <x:c r="I9" s="359"/>
      <x:c r="J9" s="340" t="str">
        <x:f>IF(OR(F9="",G9="",H9="",Q9="",R9=""),"",ABS(F9-G9)/Q9*R9*H9+K9+L9)</x:f>
      </x:c>
      <x:c r="K9" s="360"/>
      <x:c r="L9" s="358"/>
      <x:c r="M9" s="358"/>
      <x:c r="N9" s="358"/>
      <x:c r="O9" s="358"/>
      <x:c r="P9" s="359"/>
      <x:c r="Q9" s="361" t="str">
        <x:f>IF(C9="","",'Контракт'!$B$13)</x:f>
      </x:c>
      <x:c r="R9" s="362" t="str">
        <x:f>IF(C9="","",'Контракт'!$B$14)</x:f>
      </x:c>
      <x:c r="S9" s="363" t="str">
        <x:f>IF(OR(D9="",M9="",N9="",H9="",Q9="",R9=""),"",IF(D9="Лонг",1,-1)*(N9-M9)/Q9*R9*H9)</x:f>
      </x:c>
      <x:c r="T9" s="364" t="str">
        <x:f>IF(S9="","",S9-O9-P9)</x:f>
      </x:c>
      <x:c r="U9" s="365" t="str">
        <x:f>IF(T9="","",IF(MAX(0,-T9)&gt;I9,"Да","Нет"))</x:f>
      </x:c>
      <x:c r="V9" s="366"/>
      <x:c r="W9" s="367"/>
    </x:row>
    <x:row r="10">
      <x:c r="A10" s="341" t="str">
        <x:f>IF(B10="","",ROW()-6)</x:f>
      </x:c>
      <x:c r="B10" s="356"/>
      <x:c r="C10" s="357"/>
      <x:c r="D10" s="357"/>
      <x:c r="E10" s="357"/>
      <x:c r="F10" s="358"/>
      <x:c r="G10" s="358"/>
      <x:c r="H10" s="358"/>
      <x:c r="I10" s="359"/>
      <x:c r="J10" s="340" t="str">
        <x:f>IF(OR(F10="",G10="",H10="",Q10="",R10=""),"",ABS(F10-G10)/Q10*R10*H10+K10+L10)</x:f>
      </x:c>
      <x:c r="K10" s="360"/>
      <x:c r="L10" s="358"/>
      <x:c r="M10" s="358"/>
      <x:c r="N10" s="358"/>
      <x:c r="O10" s="358"/>
      <x:c r="P10" s="359"/>
      <x:c r="Q10" s="361" t="str">
        <x:f>IF(C10="","",'Контракт'!$B$13)</x:f>
      </x:c>
      <x:c r="R10" s="362" t="str">
        <x:f>IF(C10="","",'Контракт'!$B$14)</x:f>
      </x:c>
      <x:c r="S10" s="363" t="str">
        <x:f>IF(OR(D10="",M10="",N10="",H10="",Q10="",R10=""),"",IF(D10="Лонг",1,-1)*(N10-M10)/Q10*R10*H10)</x:f>
      </x:c>
      <x:c r="T10" s="364" t="str">
        <x:f>IF(S10="","",S10-O10-P10)</x:f>
      </x:c>
      <x:c r="U10" s="365" t="str">
        <x:f>IF(T10="","",IF(MAX(0,-T10)&gt;I10,"Да","Нет"))</x:f>
      </x:c>
      <x:c r="V10" s="366"/>
      <x:c r="W10" s="367"/>
    </x:row>
    <x:row r="11">
      <x:c r="A11" s="341" t="str">
        <x:f>IF(B11="","",ROW()-6)</x:f>
      </x:c>
      <x:c r="B11" s="356"/>
      <x:c r="C11" s="357"/>
      <x:c r="D11" s="357"/>
      <x:c r="E11" s="357"/>
      <x:c r="F11" s="358"/>
      <x:c r="G11" s="358"/>
      <x:c r="H11" s="358"/>
      <x:c r="I11" s="359"/>
      <x:c r="J11" s="340" t="str">
        <x:f>IF(OR(F11="",G11="",H11="",Q11="",R11=""),"",ABS(F11-G11)/Q11*R11*H11+K11+L11)</x:f>
      </x:c>
      <x:c r="K11" s="360"/>
      <x:c r="L11" s="358"/>
      <x:c r="M11" s="358"/>
      <x:c r="N11" s="358"/>
      <x:c r="O11" s="358"/>
      <x:c r="P11" s="359"/>
      <x:c r="Q11" s="361" t="str">
        <x:f>IF(C11="","",'Контракт'!$B$13)</x:f>
      </x:c>
      <x:c r="R11" s="362" t="str">
        <x:f>IF(C11="","",'Контракт'!$B$14)</x:f>
      </x:c>
      <x:c r="S11" s="363" t="str">
        <x:f>IF(OR(D11="",M11="",N11="",H11="",Q11="",R11=""),"",IF(D11="Лонг",1,-1)*(N11-M11)/Q11*R11*H11)</x:f>
      </x:c>
      <x:c r="T11" s="364" t="str">
        <x:f>IF(S11="","",S11-O11-P11)</x:f>
      </x:c>
      <x:c r="U11" s="365" t="str">
        <x:f>IF(T11="","",IF(MAX(0,-T11)&gt;I11,"Да","Нет"))</x:f>
      </x:c>
      <x:c r="V11" s="366"/>
      <x:c r="W11" s="367"/>
    </x:row>
    <x:row r="12">
      <x:c r="A12" s="341" t="str">
        <x:f>IF(B12="","",ROW()-6)</x:f>
      </x:c>
      <x:c r="B12" s="356"/>
      <x:c r="C12" s="357"/>
      <x:c r="D12" s="357"/>
      <x:c r="E12" s="357"/>
      <x:c r="F12" s="358"/>
      <x:c r="G12" s="358"/>
      <x:c r="H12" s="358"/>
      <x:c r="I12" s="359"/>
      <x:c r="J12" s="340" t="str">
        <x:f>IF(OR(F12="",G12="",H12="",Q12="",R12=""),"",ABS(F12-G12)/Q12*R12*H12+K12+L12)</x:f>
      </x:c>
      <x:c r="K12" s="360"/>
      <x:c r="L12" s="358"/>
      <x:c r="M12" s="358"/>
      <x:c r="N12" s="358"/>
      <x:c r="O12" s="358"/>
      <x:c r="P12" s="359"/>
      <x:c r="Q12" s="361" t="str">
        <x:f>IF(C12="","",'Контракт'!$B$13)</x:f>
      </x:c>
      <x:c r="R12" s="362" t="str">
        <x:f>IF(C12="","",'Контракт'!$B$14)</x:f>
      </x:c>
      <x:c r="S12" s="363" t="str">
        <x:f>IF(OR(D12="",M12="",N12="",H12="",Q12="",R12=""),"",IF(D12="Лонг",1,-1)*(N12-M12)/Q12*R12*H12)</x:f>
      </x:c>
      <x:c r="T12" s="364" t="str">
        <x:f>IF(S12="","",S12-O12-P12)</x:f>
      </x:c>
      <x:c r="U12" s="365" t="str">
        <x:f>IF(T12="","",IF(MAX(0,-T12)&gt;I12,"Да","Нет"))</x:f>
      </x:c>
      <x:c r="V12" s="366"/>
      <x:c r="W12" s="367"/>
    </x:row>
    <x:row r="13">
      <x:c r="A13" s="341" t="str">
        <x:f>IF(B13="","",ROW()-6)</x:f>
      </x:c>
      <x:c r="B13" s="356"/>
      <x:c r="C13" s="357"/>
      <x:c r="D13" s="357"/>
      <x:c r="E13" s="357"/>
      <x:c r="F13" s="358"/>
      <x:c r="G13" s="358"/>
      <x:c r="H13" s="358"/>
      <x:c r="I13" s="359"/>
      <x:c r="J13" s="340" t="str">
        <x:f>IF(OR(F13="",G13="",H13="",Q13="",R13=""),"",ABS(F13-G13)/Q13*R13*H13+K13+L13)</x:f>
      </x:c>
      <x:c r="K13" s="360"/>
      <x:c r="L13" s="358"/>
      <x:c r="M13" s="358"/>
      <x:c r="N13" s="358"/>
      <x:c r="O13" s="358"/>
      <x:c r="P13" s="359"/>
      <x:c r="Q13" s="361" t="str">
        <x:f>IF(C13="","",'Контракт'!$B$13)</x:f>
      </x:c>
      <x:c r="R13" s="362" t="str">
        <x:f>IF(C13="","",'Контракт'!$B$14)</x:f>
      </x:c>
      <x:c r="S13" s="363" t="str">
        <x:f>IF(OR(D13="",M13="",N13="",H13="",Q13="",R13=""),"",IF(D13="Лонг",1,-1)*(N13-M13)/Q13*R13*H13)</x:f>
      </x:c>
      <x:c r="T13" s="364" t="str">
        <x:f>IF(S13="","",S13-O13-P13)</x:f>
      </x:c>
      <x:c r="U13" s="365" t="str">
        <x:f>IF(T13="","",IF(MAX(0,-T13)&gt;I13,"Да","Нет"))</x:f>
      </x:c>
      <x:c r="V13" s="366"/>
      <x:c r="W13" s="367"/>
    </x:row>
    <x:row r="14">
      <x:c r="A14" s="341" t="str">
        <x:f>IF(B14="","",ROW()-6)</x:f>
      </x:c>
      <x:c r="B14" s="356"/>
      <x:c r="C14" s="357"/>
      <x:c r="D14" s="357"/>
      <x:c r="E14" s="357"/>
      <x:c r="F14" s="358"/>
      <x:c r="G14" s="358"/>
      <x:c r="H14" s="358"/>
      <x:c r="I14" s="359"/>
      <x:c r="J14" s="340" t="str">
        <x:f>IF(OR(F14="",G14="",H14="",Q14="",R14=""),"",ABS(F14-G14)/Q14*R14*H14+K14+L14)</x:f>
      </x:c>
      <x:c r="K14" s="360"/>
      <x:c r="L14" s="358"/>
      <x:c r="M14" s="358"/>
      <x:c r="N14" s="358"/>
      <x:c r="O14" s="358"/>
      <x:c r="P14" s="359"/>
      <x:c r="Q14" s="361" t="str">
        <x:f>IF(C14="","",'Контракт'!$B$13)</x:f>
      </x:c>
      <x:c r="R14" s="362" t="str">
        <x:f>IF(C14="","",'Контракт'!$B$14)</x:f>
      </x:c>
      <x:c r="S14" s="363" t="str">
        <x:f>IF(OR(D14="",M14="",N14="",H14="",Q14="",R14=""),"",IF(D14="Лонг",1,-1)*(N14-M14)/Q14*R14*H14)</x:f>
      </x:c>
      <x:c r="T14" s="364" t="str">
        <x:f>IF(S14="","",S14-O14-P14)</x:f>
      </x:c>
      <x:c r="U14" s="365" t="str">
        <x:f>IF(T14="","",IF(MAX(0,-T14)&gt;I14,"Да","Нет"))</x:f>
      </x:c>
      <x:c r="V14" s="366"/>
      <x:c r="W14" s="367"/>
    </x:row>
    <x:row r="15">
      <x:c r="A15" s="341" t="str">
        <x:f>IF(B15="","",ROW()-6)</x:f>
      </x:c>
      <x:c r="B15" s="356"/>
      <x:c r="C15" s="357"/>
      <x:c r="D15" s="357"/>
      <x:c r="E15" s="357"/>
      <x:c r="F15" s="358"/>
      <x:c r="G15" s="358"/>
      <x:c r="H15" s="358"/>
      <x:c r="I15" s="359"/>
      <x:c r="J15" s="340" t="str">
        <x:f>IF(OR(F15="",G15="",H15="",Q15="",R15=""),"",ABS(F15-G15)/Q15*R15*H15+K15+L15)</x:f>
      </x:c>
      <x:c r="K15" s="360"/>
      <x:c r="L15" s="358"/>
      <x:c r="M15" s="358"/>
      <x:c r="N15" s="358"/>
      <x:c r="O15" s="358"/>
      <x:c r="P15" s="359"/>
      <x:c r="Q15" s="361" t="str">
        <x:f>IF(C15="","",'Контракт'!$B$13)</x:f>
      </x:c>
      <x:c r="R15" s="362" t="str">
        <x:f>IF(C15="","",'Контракт'!$B$14)</x:f>
      </x:c>
      <x:c r="S15" s="363" t="str">
        <x:f>IF(OR(D15="",M15="",N15="",H15="",Q15="",R15=""),"",IF(D15="Лонг",1,-1)*(N15-M15)/Q15*R15*H15)</x:f>
      </x:c>
      <x:c r="T15" s="364" t="str">
        <x:f>IF(S15="","",S15-O15-P15)</x:f>
      </x:c>
      <x:c r="U15" s="365" t="str">
        <x:f>IF(T15="","",IF(MAX(0,-T15)&gt;I15,"Да","Нет"))</x:f>
      </x:c>
      <x:c r="V15" s="366"/>
      <x:c r="W15" s="367"/>
    </x:row>
    <x:row r="16">
      <x:c r="A16" s="341" t="str">
        <x:f>IF(B16="","",ROW()-6)</x:f>
      </x:c>
      <x:c r="B16" s="356"/>
      <x:c r="C16" s="357"/>
      <x:c r="D16" s="357"/>
      <x:c r="E16" s="357"/>
      <x:c r="F16" s="358"/>
      <x:c r="G16" s="358"/>
      <x:c r="H16" s="358"/>
      <x:c r="I16" s="359"/>
      <x:c r="J16" s="340" t="str">
        <x:f>IF(OR(F16="",G16="",H16="",Q16="",R16=""),"",ABS(F16-G16)/Q16*R16*H16+K16+L16)</x:f>
      </x:c>
      <x:c r="K16" s="360"/>
      <x:c r="L16" s="358"/>
      <x:c r="M16" s="358"/>
      <x:c r="N16" s="358"/>
      <x:c r="O16" s="358"/>
      <x:c r="P16" s="359"/>
      <x:c r="Q16" s="361" t="str">
        <x:f>IF(C16="","",'Контракт'!$B$13)</x:f>
      </x:c>
      <x:c r="R16" s="362" t="str">
        <x:f>IF(C16="","",'Контракт'!$B$14)</x:f>
      </x:c>
      <x:c r="S16" s="363" t="str">
        <x:f>IF(OR(D16="",M16="",N16="",H16="",Q16="",R16=""),"",IF(D16="Лонг",1,-1)*(N16-M16)/Q16*R16*H16)</x:f>
      </x:c>
      <x:c r="T16" s="364" t="str">
        <x:f>IF(S16="","",S16-O16-P16)</x:f>
      </x:c>
      <x:c r="U16" s="365" t="str">
        <x:f>IF(T16="","",IF(MAX(0,-T16)&gt;I16,"Да","Нет"))</x:f>
      </x:c>
      <x:c r="V16" s="366"/>
      <x:c r="W16" s="367"/>
    </x:row>
    <x:row r="17">
      <x:c r="A17" s="341" t="str">
        <x:f>IF(B17="","",ROW()-6)</x:f>
      </x:c>
      <x:c r="B17" s="356"/>
      <x:c r="C17" s="357"/>
      <x:c r="D17" s="357"/>
      <x:c r="E17" s="357"/>
      <x:c r="F17" s="358"/>
      <x:c r="G17" s="358"/>
      <x:c r="H17" s="358"/>
      <x:c r="I17" s="359"/>
      <x:c r="J17" s="340" t="str">
        <x:f>IF(OR(F17="",G17="",H17="",Q17="",R17=""),"",ABS(F17-G17)/Q17*R17*H17+K17+L17)</x:f>
      </x:c>
      <x:c r="K17" s="360"/>
      <x:c r="L17" s="358"/>
      <x:c r="M17" s="358"/>
      <x:c r="N17" s="358"/>
      <x:c r="O17" s="358"/>
      <x:c r="P17" s="359"/>
      <x:c r="Q17" s="361" t="str">
        <x:f>IF(C17="","",'Контракт'!$B$13)</x:f>
      </x:c>
      <x:c r="R17" s="362" t="str">
        <x:f>IF(C17="","",'Контракт'!$B$14)</x:f>
      </x:c>
      <x:c r="S17" s="363" t="str">
        <x:f>IF(OR(D17="",M17="",N17="",H17="",Q17="",R17=""),"",IF(D17="Лонг",1,-1)*(N17-M17)/Q17*R17*H17)</x:f>
      </x:c>
      <x:c r="T17" s="364" t="str">
        <x:f>IF(S17="","",S17-O17-P17)</x:f>
      </x:c>
      <x:c r="U17" s="365" t="str">
        <x:f>IF(T17="","",IF(MAX(0,-T17)&gt;I17,"Да","Нет"))</x:f>
      </x:c>
      <x:c r="V17" s="366"/>
      <x:c r="W17" s="367"/>
    </x:row>
    <x:row r="18">
      <x:c r="A18" s="341" t="str">
        <x:f>IF(B18="","",ROW()-6)</x:f>
      </x:c>
      <x:c r="B18" s="356"/>
      <x:c r="C18" s="357"/>
      <x:c r="D18" s="357"/>
      <x:c r="E18" s="357"/>
      <x:c r="F18" s="358"/>
      <x:c r="G18" s="358"/>
      <x:c r="H18" s="358"/>
      <x:c r="I18" s="359"/>
      <x:c r="J18" s="340" t="str">
        <x:f>IF(OR(F18="",G18="",H18="",Q18="",R18=""),"",ABS(F18-G18)/Q18*R18*H18+K18+L18)</x:f>
      </x:c>
      <x:c r="K18" s="360"/>
      <x:c r="L18" s="358"/>
      <x:c r="M18" s="358"/>
      <x:c r="N18" s="358"/>
      <x:c r="O18" s="358"/>
      <x:c r="P18" s="359"/>
      <x:c r="Q18" s="361" t="str">
        <x:f>IF(C18="","",'Контракт'!$B$13)</x:f>
      </x:c>
      <x:c r="R18" s="362" t="str">
        <x:f>IF(C18="","",'Контракт'!$B$14)</x:f>
      </x:c>
      <x:c r="S18" s="363" t="str">
        <x:f>IF(OR(D18="",M18="",N18="",H18="",Q18="",R18=""),"",IF(D18="Лонг",1,-1)*(N18-M18)/Q18*R18*H18)</x:f>
      </x:c>
      <x:c r="T18" s="364" t="str">
        <x:f>IF(S18="","",S18-O18-P18)</x:f>
      </x:c>
      <x:c r="U18" s="365" t="str">
        <x:f>IF(T18="","",IF(MAX(0,-T18)&gt;I18,"Да","Нет"))</x:f>
      </x:c>
      <x:c r="V18" s="366"/>
      <x:c r="W18" s="367"/>
    </x:row>
    <x:row r="19">
      <x:c r="A19" s="341" t="str">
        <x:f>IF(B19="","",ROW()-6)</x:f>
      </x:c>
      <x:c r="B19" s="356"/>
      <x:c r="C19" s="357"/>
      <x:c r="D19" s="357"/>
      <x:c r="E19" s="357"/>
      <x:c r="F19" s="358"/>
      <x:c r="G19" s="358"/>
      <x:c r="H19" s="358"/>
      <x:c r="I19" s="359"/>
      <x:c r="J19" s="340" t="str">
        <x:f>IF(OR(F19="",G19="",H19="",Q19="",R19=""),"",ABS(F19-G19)/Q19*R19*H19+K19+L19)</x:f>
      </x:c>
      <x:c r="K19" s="360"/>
      <x:c r="L19" s="358"/>
      <x:c r="M19" s="358"/>
      <x:c r="N19" s="358"/>
      <x:c r="O19" s="358"/>
      <x:c r="P19" s="359"/>
      <x:c r="Q19" s="361" t="str">
        <x:f>IF(C19="","",'Контракт'!$B$13)</x:f>
      </x:c>
      <x:c r="R19" s="362" t="str">
        <x:f>IF(C19="","",'Контракт'!$B$14)</x:f>
      </x:c>
      <x:c r="S19" s="363" t="str">
        <x:f>IF(OR(D19="",M19="",N19="",H19="",Q19="",R19=""),"",IF(D19="Лонг",1,-1)*(N19-M19)/Q19*R19*H19)</x:f>
      </x:c>
      <x:c r="T19" s="364" t="str">
        <x:f>IF(S19="","",S19-O19-P19)</x:f>
      </x:c>
      <x:c r="U19" s="365" t="str">
        <x:f>IF(T19="","",IF(MAX(0,-T19)&gt;I19,"Да","Нет"))</x:f>
      </x:c>
      <x:c r="V19" s="366"/>
      <x:c r="W19" s="367"/>
    </x:row>
    <x:row r="20">
      <x:c r="A20" s="341" t="str">
        <x:f>IF(B20="","",ROW()-6)</x:f>
      </x:c>
      <x:c r="B20" s="356"/>
      <x:c r="C20" s="357"/>
      <x:c r="D20" s="357"/>
      <x:c r="E20" s="357"/>
      <x:c r="F20" s="358"/>
      <x:c r="G20" s="358"/>
      <x:c r="H20" s="358"/>
      <x:c r="I20" s="359"/>
      <x:c r="J20" s="340" t="str">
        <x:f>IF(OR(F20="",G20="",H20="",Q20="",R20=""),"",ABS(F20-G20)/Q20*R20*H20+K20+L20)</x:f>
      </x:c>
      <x:c r="K20" s="360"/>
      <x:c r="L20" s="358"/>
      <x:c r="M20" s="358"/>
      <x:c r="N20" s="358"/>
      <x:c r="O20" s="358"/>
      <x:c r="P20" s="359"/>
      <x:c r="Q20" s="361" t="str">
        <x:f>IF(C20="","",'Контракт'!$B$13)</x:f>
      </x:c>
      <x:c r="R20" s="362" t="str">
        <x:f>IF(C20="","",'Контракт'!$B$14)</x:f>
      </x:c>
      <x:c r="S20" s="363" t="str">
        <x:f>IF(OR(D20="",M20="",N20="",H20="",Q20="",R20=""),"",IF(D20="Лонг",1,-1)*(N20-M20)/Q20*R20*H20)</x:f>
      </x:c>
      <x:c r="T20" s="364" t="str">
        <x:f>IF(S20="","",S20-O20-P20)</x:f>
      </x:c>
      <x:c r="U20" s="365" t="str">
        <x:f>IF(T20="","",IF(MAX(0,-T20)&gt;I20,"Да","Нет"))</x:f>
      </x:c>
      <x:c r="V20" s="366"/>
      <x:c r="W20" s="367"/>
    </x:row>
    <x:row r="21">
      <x:c r="A21" s="341" t="str">
        <x:f>IF(B21="","",ROW()-6)</x:f>
      </x:c>
      <x:c r="B21" s="356"/>
      <x:c r="C21" s="357"/>
      <x:c r="D21" s="357"/>
      <x:c r="E21" s="357"/>
      <x:c r="F21" s="358"/>
      <x:c r="G21" s="358"/>
      <x:c r="H21" s="358"/>
      <x:c r="I21" s="359"/>
      <x:c r="J21" s="340" t="str">
        <x:f>IF(OR(F21="",G21="",H21="",Q21="",R21=""),"",ABS(F21-G21)/Q21*R21*H21+K21+L21)</x:f>
      </x:c>
      <x:c r="K21" s="360"/>
      <x:c r="L21" s="358"/>
      <x:c r="M21" s="358"/>
      <x:c r="N21" s="358"/>
      <x:c r="O21" s="358"/>
      <x:c r="P21" s="359"/>
      <x:c r="Q21" s="361" t="str">
        <x:f>IF(C21="","",'Контракт'!$B$13)</x:f>
      </x:c>
      <x:c r="R21" s="362" t="str">
        <x:f>IF(C21="","",'Контракт'!$B$14)</x:f>
      </x:c>
      <x:c r="S21" s="363" t="str">
        <x:f>IF(OR(D21="",M21="",N21="",H21="",Q21="",R21=""),"",IF(D21="Лонг",1,-1)*(N21-M21)/Q21*R21*H21)</x:f>
      </x:c>
      <x:c r="T21" s="364" t="str">
        <x:f>IF(S21="","",S21-O21-P21)</x:f>
      </x:c>
      <x:c r="U21" s="365" t="str">
        <x:f>IF(T21="","",IF(MAX(0,-T21)&gt;I21,"Да","Нет"))</x:f>
      </x:c>
      <x:c r="V21" s="366"/>
      <x:c r="W21" s="367"/>
    </x:row>
    <x:row r="22">
      <x:c r="A22" s="341" t="str">
        <x:f>IF(B22="","",ROW()-6)</x:f>
      </x:c>
      <x:c r="B22" s="356"/>
      <x:c r="C22" s="357"/>
      <x:c r="D22" s="357"/>
      <x:c r="E22" s="357"/>
      <x:c r="F22" s="358"/>
      <x:c r="G22" s="358"/>
      <x:c r="H22" s="358"/>
      <x:c r="I22" s="359"/>
      <x:c r="J22" s="340" t="str">
        <x:f>IF(OR(F22="",G22="",H22="",Q22="",R22=""),"",ABS(F22-G22)/Q22*R22*H22+K22+L22)</x:f>
      </x:c>
      <x:c r="K22" s="360"/>
      <x:c r="L22" s="358"/>
      <x:c r="M22" s="358"/>
      <x:c r="N22" s="358"/>
      <x:c r="O22" s="358"/>
      <x:c r="P22" s="359"/>
      <x:c r="Q22" s="361" t="str">
        <x:f>IF(C22="","",'Контракт'!$B$13)</x:f>
      </x:c>
      <x:c r="R22" s="362" t="str">
        <x:f>IF(C22="","",'Контракт'!$B$14)</x:f>
      </x:c>
      <x:c r="S22" s="363" t="str">
        <x:f>IF(OR(D22="",M22="",N22="",H22="",Q22="",R22=""),"",IF(D22="Лонг",1,-1)*(N22-M22)/Q22*R22*H22)</x:f>
      </x:c>
      <x:c r="T22" s="364" t="str">
        <x:f>IF(S22="","",S22-O22-P22)</x:f>
      </x:c>
      <x:c r="U22" s="365" t="str">
        <x:f>IF(T22="","",IF(MAX(0,-T22)&gt;I22,"Да","Нет"))</x:f>
      </x:c>
      <x:c r="V22" s="366"/>
      <x:c r="W22" s="367"/>
    </x:row>
    <x:row r="23">
      <x:c r="A23" s="341" t="str">
        <x:f>IF(B23="","",ROW()-6)</x:f>
      </x:c>
      <x:c r="B23" s="356"/>
      <x:c r="C23" s="357"/>
      <x:c r="D23" s="357"/>
      <x:c r="E23" s="357"/>
      <x:c r="F23" s="358"/>
      <x:c r="G23" s="358"/>
      <x:c r="H23" s="358"/>
      <x:c r="I23" s="359"/>
      <x:c r="J23" s="340" t="str">
        <x:f>IF(OR(F23="",G23="",H23="",Q23="",R23=""),"",ABS(F23-G23)/Q23*R23*H23+K23+L23)</x:f>
      </x:c>
      <x:c r="K23" s="360"/>
      <x:c r="L23" s="358"/>
      <x:c r="M23" s="358"/>
      <x:c r="N23" s="358"/>
      <x:c r="O23" s="358"/>
      <x:c r="P23" s="359"/>
      <x:c r="Q23" s="361" t="str">
        <x:f>IF(C23="","",'Контракт'!$B$13)</x:f>
      </x:c>
      <x:c r="R23" s="362" t="str">
        <x:f>IF(C23="","",'Контракт'!$B$14)</x:f>
      </x:c>
      <x:c r="S23" s="363" t="str">
        <x:f>IF(OR(D23="",M23="",N23="",H23="",Q23="",R23=""),"",IF(D23="Лонг",1,-1)*(N23-M23)/Q23*R23*H23)</x:f>
      </x:c>
      <x:c r="T23" s="364" t="str">
        <x:f>IF(S23="","",S23-O23-P23)</x:f>
      </x:c>
      <x:c r="U23" s="365" t="str">
        <x:f>IF(T23="","",IF(MAX(0,-T23)&gt;I23,"Да","Нет"))</x:f>
      </x:c>
      <x:c r="V23" s="366"/>
      <x:c r="W23" s="367"/>
    </x:row>
    <x:row r="24">
      <x:c r="A24" s="341" t="str">
        <x:f>IF(B24="","",ROW()-6)</x:f>
      </x:c>
      <x:c r="B24" s="356"/>
      <x:c r="C24" s="357"/>
      <x:c r="D24" s="357"/>
      <x:c r="E24" s="357"/>
      <x:c r="F24" s="358"/>
      <x:c r="G24" s="358"/>
      <x:c r="H24" s="358"/>
      <x:c r="I24" s="359"/>
      <x:c r="J24" s="340" t="str">
        <x:f>IF(OR(F24="",G24="",H24="",Q24="",R24=""),"",ABS(F24-G24)/Q24*R24*H24+K24+L24)</x:f>
      </x:c>
      <x:c r="K24" s="360"/>
      <x:c r="L24" s="358"/>
      <x:c r="M24" s="358"/>
      <x:c r="N24" s="358"/>
      <x:c r="O24" s="358"/>
      <x:c r="P24" s="359"/>
      <x:c r="Q24" s="361" t="str">
        <x:f>IF(C24="","",'Контракт'!$B$13)</x:f>
      </x:c>
      <x:c r="R24" s="362" t="str">
        <x:f>IF(C24="","",'Контракт'!$B$14)</x:f>
      </x:c>
      <x:c r="S24" s="363" t="str">
        <x:f>IF(OR(D24="",M24="",N24="",H24="",Q24="",R24=""),"",IF(D24="Лонг",1,-1)*(N24-M24)/Q24*R24*H24)</x:f>
      </x:c>
      <x:c r="T24" s="364" t="str">
        <x:f>IF(S24="","",S24-O24-P24)</x:f>
      </x:c>
      <x:c r="U24" s="365" t="str">
        <x:f>IF(T24="","",IF(MAX(0,-T24)&gt;I24,"Да","Нет"))</x:f>
      </x:c>
      <x:c r="V24" s="366"/>
      <x:c r="W24" s="367"/>
    </x:row>
    <x:row r="25">
      <x:c r="A25" s="341" t="str">
        <x:f>IF(B25="","",ROW()-6)</x:f>
      </x:c>
      <x:c r="B25" s="356"/>
      <x:c r="C25" s="357"/>
      <x:c r="D25" s="357"/>
      <x:c r="E25" s="357"/>
      <x:c r="F25" s="358"/>
      <x:c r="G25" s="358"/>
      <x:c r="H25" s="358"/>
      <x:c r="I25" s="359"/>
      <x:c r="J25" s="340" t="str">
        <x:f>IF(OR(F25="",G25="",H25="",Q25="",R25=""),"",ABS(F25-G25)/Q25*R25*H25+K25+L25)</x:f>
      </x:c>
      <x:c r="K25" s="360"/>
      <x:c r="L25" s="358"/>
      <x:c r="M25" s="358"/>
      <x:c r="N25" s="358"/>
      <x:c r="O25" s="358"/>
      <x:c r="P25" s="359"/>
      <x:c r="Q25" s="361" t="str">
        <x:f>IF(C25="","",'Контракт'!$B$13)</x:f>
      </x:c>
      <x:c r="R25" s="362" t="str">
        <x:f>IF(C25="","",'Контракт'!$B$14)</x:f>
      </x:c>
      <x:c r="S25" s="363" t="str">
        <x:f>IF(OR(D25="",M25="",N25="",H25="",Q25="",R25=""),"",IF(D25="Лонг",1,-1)*(N25-M25)/Q25*R25*H25)</x:f>
      </x:c>
      <x:c r="T25" s="364" t="str">
        <x:f>IF(S25="","",S25-O25-P25)</x:f>
      </x:c>
      <x:c r="U25" s="365" t="str">
        <x:f>IF(T25="","",IF(MAX(0,-T25)&gt;I25,"Да","Нет"))</x:f>
      </x:c>
      <x:c r="V25" s="366"/>
      <x:c r="W25" s="367"/>
    </x:row>
    <x:row r="26">
      <x:c r="A26" s="341" t="str">
        <x:f>IF(B26="","",ROW()-6)</x:f>
      </x:c>
      <x:c r="B26" s="356"/>
      <x:c r="C26" s="357"/>
      <x:c r="D26" s="357"/>
      <x:c r="E26" s="357"/>
      <x:c r="F26" s="358"/>
      <x:c r="G26" s="358"/>
      <x:c r="H26" s="358"/>
      <x:c r="I26" s="359"/>
      <x:c r="J26" s="340" t="str">
        <x:f>IF(OR(F26="",G26="",H26="",Q26="",R26=""),"",ABS(F26-G26)/Q26*R26*H26+K26+L26)</x:f>
      </x:c>
      <x:c r="K26" s="360"/>
      <x:c r="L26" s="358"/>
      <x:c r="M26" s="358"/>
      <x:c r="N26" s="358"/>
      <x:c r="O26" s="358"/>
      <x:c r="P26" s="359"/>
      <x:c r="Q26" s="361" t="str">
        <x:f>IF(C26="","",'Контракт'!$B$13)</x:f>
      </x:c>
      <x:c r="R26" s="362" t="str">
        <x:f>IF(C26="","",'Контракт'!$B$14)</x:f>
      </x:c>
      <x:c r="S26" s="363" t="str">
        <x:f>IF(OR(D26="",M26="",N26="",H26="",Q26="",R26=""),"",IF(D26="Лонг",1,-1)*(N26-M26)/Q26*R26*H26)</x:f>
      </x:c>
      <x:c r="T26" s="364" t="str">
        <x:f>IF(S26="","",S26-O26-P26)</x:f>
      </x:c>
      <x:c r="U26" s="365" t="str">
        <x:f>IF(T26="","",IF(MAX(0,-T26)&gt;I26,"Да","Нет"))</x:f>
      </x:c>
      <x:c r="V26" s="366"/>
      <x:c r="W26" s="367"/>
    </x:row>
    <x:row r="27">
      <x:c r="A27" s="341" t="str">
        <x:f>IF(B27="","",ROW()-6)</x:f>
      </x:c>
      <x:c r="B27" s="356"/>
      <x:c r="C27" s="357"/>
      <x:c r="D27" s="357"/>
      <x:c r="E27" s="357"/>
      <x:c r="F27" s="358"/>
      <x:c r="G27" s="358"/>
      <x:c r="H27" s="358"/>
      <x:c r="I27" s="359"/>
      <x:c r="J27" s="340" t="str">
        <x:f>IF(OR(F27="",G27="",H27="",Q27="",R27=""),"",ABS(F27-G27)/Q27*R27*H27+K27+L27)</x:f>
      </x:c>
      <x:c r="K27" s="360"/>
      <x:c r="L27" s="358"/>
      <x:c r="M27" s="358"/>
      <x:c r="N27" s="358"/>
      <x:c r="O27" s="358"/>
      <x:c r="P27" s="359"/>
      <x:c r="Q27" s="361" t="str">
        <x:f>IF(C27="","",'Контракт'!$B$13)</x:f>
      </x:c>
      <x:c r="R27" s="362" t="str">
        <x:f>IF(C27="","",'Контракт'!$B$14)</x:f>
      </x:c>
      <x:c r="S27" s="363" t="str">
        <x:f>IF(OR(D27="",M27="",N27="",H27="",Q27="",R27=""),"",IF(D27="Лонг",1,-1)*(N27-M27)/Q27*R27*H27)</x:f>
      </x:c>
      <x:c r="T27" s="364" t="str">
        <x:f>IF(S27="","",S27-O27-P27)</x:f>
      </x:c>
      <x:c r="U27" s="365" t="str">
        <x:f>IF(T27="","",IF(MAX(0,-T27)&gt;I27,"Да","Нет"))</x:f>
      </x:c>
      <x:c r="V27" s="366"/>
      <x:c r="W27" s="367"/>
    </x:row>
    <x:row r="28">
      <x:c r="A28" s="341" t="str">
        <x:f>IF(B28="","",ROW()-6)</x:f>
      </x:c>
      <x:c r="B28" s="356"/>
      <x:c r="C28" s="357"/>
      <x:c r="D28" s="357"/>
      <x:c r="E28" s="357"/>
      <x:c r="F28" s="358"/>
      <x:c r="G28" s="358"/>
      <x:c r="H28" s="358"/>
      <x:c r="I28" s="359"/>
      <x:c r="J28" s="340" t="str">
        <x:f>IF(OR(F28="",G28="",H28="",Q28="",R28=""),"",ABS(F28-G28)/Q28*R28*H28+K28+L28)</x:f>
      </x:c>
      <x:c r="K28" s="360"/>
      <x:c r="L28" s="358"/>
      <x:c r="M28" s="358"/>
      <x:c r="N28" s="358"/>
      <x:c r="O28" s="358"/>
      <x:c r="P28" s="359"/>
      <x:c r="Q28" s="361" t="str">
        <x:f>IF(C28="","",'Контракт'!$B$13)</x:f>
      </x:c>
      <x:c r="R28" s="362" t="str">
        <x:f>IF(C28="","",'Контракт'!$B$14)</x:f>
      </x:c>
      <x:c r="S28" s="363" t="str">
        <x:f>IF(OR(D28="",M28="",N28="",H28="",Q28="",R28=""),"",IF(D28="Лонг",1,-1)*(N28-M28)/Q28*R28*H28)</x:f>
      </x:c>
      <x:c r="T28" s="364" t="str">
        <x:f>IF(S28="","",S28-O28-P28)</x:f>
      </x:c>
      <x:c r="U28" s="365" t="str">
        <x:f>IF(T28="","",IF(MAX(0,-T28)&gt;I28,"Да","Нет"))</x:f>
      </x:c>
      <x:c r="V28" s="366"/>
      <x:c r="W28" s="367"/>
    </x:row>
    <x:row r="29">
      <x:c r="A29" s="341" t="str">
        <x:f>IF(B29="","",ROW()-6)</x:f>
      </x:c>
      <x:c r="B29" s="356"/>
      <x:c r="C29" s="357"/>
      <x:c r="D29" s="357"/>
      <x:c r="E29" s="357"/>
      <x:c r="F29" s="358"/>
      <x:c r="G29" s="358"/>
      <x:c r="H29" s="358"/>
      <x:c r="I29" s="359"/>
      <x:c r="J29" s="340" t="str">
        <x:f>IF(OR(F29="",G29="",H29="",Q29="",R29=""),"",ABS(F29-G29)/Q29*R29*H29+K29+L29)</x:f>
      </x:c>
      <x:c r="K29" s="360"/>
      <x:c r="L29" s="358"/>
      <x:c r="M29" s="358"/>
      <x:c r="N29" s="358"/>
      <x:c r="O29" s="358"/>
      <x:c r="P29" s="359"/>
      <x:c r="Q29" s="361" t="str">
        <x:f>IF(C29="","",'Контракт'!$B$13)</x:f>
      </x:c>
      <x:c r="R29" s="362" t="str">
        <x:f>IF(C29="","",'Контракт'!$B$14)</x:f>
      </x:c>
      <x:c r="S29" s="363" t="str">
        <x:f>IF(OR(D29="",M29="",N29="",H29="",Q29="",R29=""),"",IF(D29="Лонг",1,-1)*(N29-M29)/Q29*R29*H29)</x:f>
      </x:c>
      <x:c r="T29" s="364" t="str">
        <x:f>IF(S29="","",S29-O29-P29)</x:f>
      </x:c>
      <x:c r="U29" s="365" t="str">
        <x:f>IF(T29="","",IF(MAX(0,-T29)&gt;I29,"Да","Нет"))</x:f>
      </x:c>
      <x:c r="V29" s="366"/>
      <x:c r="W29" s="367"/>
    </x:row>
    <x:row r="30">
      <x:c r="A30" s="341" t="str">
        <x:f>IF(B30="","",ROW()-6)</x:f>
      </x:c>
      <x:c r="B30" s="356"/>
      <x:c r="C30" s="357"/>
      <x:c r="D30" s="357"/>
      <x:c r="E30" s="357"/>
      <x:c r="F30" s="358"/>
      <x:c r="G30" s="358"/>
      <x:c r="H30" s="358"/>
      <x:c r="I30" s="359"/>
      <x:c r="J30" s="340" t="str">
        <x:f>IF(OR(F30="",G30="",H30="",Q30="",R30=""),"",ABS(F30-G30)/Q30*R30*H30+K30+L30)</x:f>
      </x:c>
      <x:c r="K30" s="360"/>
      <x:c r="L30" s="358"/>
      <x:c r="M30" s="358"/>
      <x:c r="N30" s="358"/>
      <x:c r="O30" s="358"/>
      <x:c r="P30" s="359"/>
      <x:c r="Q30" s="361" t="str">
        <x:f>IF(C30="","",'Контракт'!$B$13)</x:f>
      </x:c>
      <x:c r="R30" s="362" t="str">
        <x:f>IF(C30="","",'Контракт'!$B$14)</x:f>
      </x:c>
      <x:c r="S30" s="363" t="str">
        <x:f>IF(OR(D30="",M30="",N30="",H30="",Q30="",R30=""),"",IF(D30="Лонг",1,-1)*(N30-M30)/Q30*R30*H30)</x:f>
      </x:c>
      <x:c r="T30" s="364" t="str">
        <x:f>IF(S30="","",S30-O30-P30)</x:f>
      </x:c>
      <x:c r="U30" s="365" t="str">
        <x:f>IF(T30="","",IF(MAX(0,-T30)&gt;I30,"Да","Нет"))</x:f>
      </x:c>
      <x:c r="V30" s="366"/>
      <x:c r="W30" s="367"/>
    </x:row>
    <x:row r="31">
      <x:c r="A31" s="341" t="str">
        <x:f>IF(B31="","",ROW()-6)</x:f>
      </x:c>
      <x:c r="B31" s="356"/>
      <x:c r="C31" s="357"/>
      <x:c r="D31" s="357"/>
      <x:c r="E31" s="357"/>
      <x:c r="F31" s="358"/>
      <x:c r="G31" s="358"/>
      <x:c r="H31" s="358"/>
      <x:c r="I31" s="359"/>
      <x:c r="J31" s="340" t="str">
        <x:f>IF(OR(F31="",G31="",H31="",Q31="",R31=""),"",ABS(F31-G31)/Q31*R31*H31+K31+L31)</x:f>
      </x:c>
      <x:c r="K31" s="360"/>
      <x:c r="L31" s="358"/>
      <x:c r="M31" s="358"/>
      <x:c r="N31" s="358"/>
      <x:c r="O31" s="358"/>
      <x:c r="P31" s="359"/>
      <x:c r="Q31" s="361" t="str">
        <x:f>IF(C31="","",'Контракт'!$B$13)</x:f>
      </x:c>
      <x:c r="R31" s="362" t="str">
        <x:f>IF(C31="","",'Контракт'!$B$14)</x:f>
      </x:c>
      <x:c r="S31" s="363" t="str">
        <x:f>IF(OR(D31="",M31="",N31="",H31="",Q31="",R31=""),"",IF(D31="Лонг",1,-1)*(N31-M31)/Q31*R31*H31)</x:f>
      </x:c>
      <x:c r="T31" s="364" t="str">
        <x:f>IF(S31="","",S31-O31-P31)</x:f>
      </x:c>
      <x:c r="U31" s="365" t="str">
        <x:f>IF(T31="","",IF(MAX(0,-T31)&gt;I31,"Да","Нет"))</x:f>
      </x:c>
      <x:c r="V31" s="366"/>
      <x:c r="W31" s="367"/>
    </x:row>
    <x:row r="32">
      <x:c r="A32" s="341" t="str">
        <x:f>IF(B32="","",ROW()-6)</x:f>
      </x:c>
      <x:c r="B32" s="356"/>
      <x:c r="C32" s="357"/>
      <x:c r="D32" s="357"/>
      <x:c r="E32" s="357"/>
      <x:c r="F32" s="358"/>
      <x:c r="G32" s="358"/>
      <x:c r="H32" s="358"/>
      <x:c r="I32" s="359"/>
      <x:c r="J32" s="340" t="str">
        <x:f>IF(OR(F32="",G32="",H32="",Q32="",R32=""),"",ABS(F32-G32)/Q32*R32*H32+K32+L32)</x:f>
      </x:c>
      <x:c r="K32" s="360"/>
      <x:c r="L32" s="358"/>
      <x:c r="M32" s="358"/>
      <x:c r="N32" s="358"/>
      <x:c r="O32" s="358"/>
      <x:c r="P32" s="359"/>
      <x:c r="Q32" s="361" t="str">
        <x:f>IF(C32="","",'Контракт'!$B$13)</x:f>
      </x:c>
      <x:c r="R32" s="362" t="str">
        <x:f>IF(C32="","",'Контракт'!$B$14)</x:f>
      </x:c>
      <x:c r="S32" s="363" t="str">
        <x:f>IF(OR(D32="",M32="",N32="",H32="",Q32="",R32=""),"",IF(D32="Лонг",1,-1)*(N32-M32)/Q32*R32*H32)</x:f>
      </x:c>
      <x:c r="T32" s="364" t="str">
        <x:f>IF(S32="","",S32-O32-P32)</x:f>
      </x:c>
      <x:c r="U32" s="365" t="str">
        <x:f>IF(T32="","",IF(MAX(0,-T32)&gt;I32,"Да","Нет"))</x:f>
      </x:c>
      <x:c r="V32" s="366"/>
      <x:c r="W32" s="367"/>
    </x:row>
    <x:row r="33">
      <x:c r="A33" s="341" t="str">
        <x:f>IF(B33="","",ROW()-6)</x:f>
      </x:c>
      <x:c r="B33" s="356"/>
      <x:c r="C33" s="357"/>
      <x:c r="D33" s="357"/>
      <x:c r="E33" s="357"/>
      <x:c r="F33" s="358"/>
      <x:c r="G33" s="358"/>
      <x:c r="H33" s="358"/>
      <x:c r="I33" s="359"/>
      <x:c r="J33" s="340" t="str">
        <x:f>IF(OR(F33="",G33="",H33="",Q33="",R33=""),"",ABS(F33-G33)/Q33*R33*H33+K33+L33)</x:f>
      </x:c>
      <x:c r="K33" s="360"/>
      <x:c r="L33" s="358"/>
      <x:c r="M33" s="358"/>
      <x:c r="N33" s="358"/>
      <x:c r="O33" s="358"/>
      <x:c r="P33" s="359"/>
      <x:c r="Q33" s="361" t="str">
        <x:f>IF(C33="","",'Контракт'!$B$13)</x:f>
      </x:c>
      <x:c r="R33" s="362" t="str">
        <x:f>IF(C33="","",'Контракт'!$B$14)</x:f>
      </x:c>
      <x:c r="S33" s="363" t="str">
        <x:f>IF(OR(D33="",M33="",N33="",H33="",Q33="",R33=""),"",IF(D33="Лонг",1,-1)*(N33-M33)/Q33*R33*H33)</x:f>
      </x:c>
      <x:c r="T33" s="364" t="str">
        <x:f>IF(S33="","",S33-O33-P33)</x:f>
      </x:c>
      <x:c r="U33" s="365" t="str">
        <x:f>IF(T33="","",IF(MAX(0,-T33)&gt;I33,"Да","Нет"))</x:f>
      </x:c>
      <x:c r="V33" s="366"/>
      <x:c r="W33" s="367"/>
    </x:row>
    <x:row r="34">
      <x:c r="A34" s="341" t="str">
        <x:f>IF(B34="","",ROW()-6)</x:f>
      </x:c>
      <x:c r="B34" s="356"/>
      <x:c r="C34" s="357"/>
      <x:c r="D34" s="357"/>
      <x:c r="E34" s="357"/>
      <x:c r="F34" s="358"/>
      <x:c r="G34" s="358"/>
      <x:c r="H34" s="358"/>
      <x:c r="I34" s="359"/>
      <x:c r="J34" s="340" t="str">
        <x:f>IF(OR(F34="",G34="",H34="",Q34="",R34=""),"",ABS(F34-G34)/Q34*R34*H34+K34+L34)</x:f>
      </x:c>
      <x:c r="K34" s="360"/>
      <x:c r="L34" s="358"/>
      <x:c r="M34" s="358"/>
      <x:c r="N34" s="358"/>
      <x:c r="O34" s="358"/>
      <x:c r="P34" s="359"/>
      <x:c r="Q34" s="361" t="str">
        <x:f>IF(C34="","",'Контракт'!$B$13)</x:f>
      </x:c>
      <x:c r="R34" s="362" t="str">
        <x:f>IF(C34="","",'Контракт'!$B$14)</x:f>
      </x:c>
      <x:c r="S34" s="363" t="str">
        <x:f>IF(OR(D34="",M34="",N34="",H34="",Q34="",R34=""),"",IF(D34="Лонг",1,-1)*(N34-M34)/Q34*R34*H34)</x:f>
      </x:c>
      <x:c r="T34" s="364" t="str">
        <x:f>IF(S34="","",S34-O34-P34)</x:f>
      </x:c>
      <x:c r="U34" s="365" t="str">
        <x:f>IF(T34="","",IF(MAX(0,-T34)&gt;I34,"Да","Нет"))</x:f>
      </x:c>
      <x:c r="V34" s="366"/>
      <x:c r="W34" s="367"/>
    </x:row>
    <x:row r="35">
      <x:c r="A35" s="341" t="str">
        <x:f>IF(B35="","",ROW()-6)</x:f>
      </x:c>
      <x:c r="B35" s="356"/>
      <x:c r="C35" s="357"/>
      <x:c r="D35" s="357"/>
      <x:c r="E35" s="357"/>
      <x:c r="F35" s="358"/>
      <x:c r="G35" s="358"/>
      <x:c r="H35" s="358"/>
      <x:c r="I35" s="359"/>
      <x:c r="J35" s="340" t="str">
        <x:f>IF(OR(F35="",G35="",H35="",Q35="",R35=""),"",ABS(F35-G35)/Q35*R35*H35+K35+L35)</x:f>
      </x:c>
      <x:c r="K35" s="360"/>
      <x:c r="L35" s="358"/>
      <x:c r="M35" s="358"/>
      <x:c r="N35" s="358"/>
      <x:c r="O35" s="358"/>
      <x:c r="P35" s="359"/>
      <x:c r="Q35" s="361" t="str">
        <x:f>IF(C35="","",'Контракт'!$B$13)</x:f>
      </x:c>
      <x:c r="R35" s="362" t="str">
        <x:f>IF(C35="","",'Контракт'!$B$14)</x:f>
      </x:c>
      <x:c r="S35" s="363" t="str">
        <x:f>IF(OR(D35="",M35="",N35="",H35="",Q35="",R35=""),"",IF(D35="Лонг",1,-1)*(N35-M35)/Q35*R35*H35)</x:f>
      </x:c>
      <x:c r="T35" s="364" t="str">
        <x:f>IF(S35="","",S35-O35-P35)</x:f>
      </x:c>
      <x:c r="U35" s="365" t="str">
        <x:f>IF(T35="","",IF(MAX(0,-T35)&gt;I35,"Да","Нет"))</x:f>
      </x:c>
      <x:c r="V35" s="366"/>
      <x:c r="W35" s="367"/>
    </x:row>
    <x:row r="36">
      <x:c r="A36" s="341" t="str">
        <x:f>IF(B36="","",ROW()-6)</x:f>
      </x:c>
      <x:c r="B36" s="356"/>
      <x:c r="C36" s="357"/>
      <x:c r="D36" s="357"/>
      <x:c r="E36" s="357"/>
      <x:c r="F36" s="358"/>
      <x:c r="G36" s="358"/>
      <x:c r="H36" s="358"/>
      <x:c r="I36" s="359"/>
      <x:c r="J36" s="340" t="str">
        <x:f>IF(OR(F36="",G36="",H36="",Q36="",R36=""),"",ABS(F36-G36)/Q36*R36*H36+K36+L36)</x:f>
      </x:c>
      <x:c r="K36" s="360"/>
      <x:c r="L36" s="358"/>
      <x:c r="M36" s="358"/>
      <x:c r="N36" s="358"/>
      <x:c r="O36" s="358"/>
      <x:c r="P36" s="359"/>
      <x:c r="Q36" s="361" t="str">
        <x:f>IF(C36="","",'Контракт'!$B$13)</x:f>
      </x:c>
      <x:c r="R36" s="362" t="str">
        <x:f>IF(C36="","",'Контракт'!$B$14)</x:f>
      </x:c>
      <x:c r="S36" s="363" t="str">
        <x:f>IF(OR(D36="",M36="",N36="",H36="",Q36="",R36=""),"",IF(D36="Лонг",1,-1)*(N36-M36)/Q36*R36*H36)</x:f>
      </x:c>
      <x:c r="T36" s="364" t="str">
        <x:f>IF(S36="","",S36-O36-P36)</x:f>
      </x:c>
      <x:c r="U36" s="365" t="str">
        <x:f>IF(T36="","",IF(MAX(0,-T36)&gt;I36,"Да","Нет"))</x:f>
      </x:c>
      <x:c r="V36" s="366"/>
      <x:c r="W36" s="367"/>
    </x:row>
    <x:row r="37">
      <x:c r="A37" s="341" t="str">
        <x:f>IF(B37="","",ROW()-6)</x:f>
      </x:c>
      <x:c r="B37" s="356"/>
      <x:c r="C37" s="357"/>
      <x:c r="D37" s="357"/>
      <x:c r="E37" s="357"/>
      <x:c r="F37" s="358"/>
      <x:c r="G37" s="358"/>
      <x:c r="H37" s="358"/>
      <x:c r="I37" s="359"/>
      <x:c r="J37" s="340" t="str">
        <x:f>IF(OR(F37="",G37="",H37="",Q37="",R37=""),"",ABS(F37-G37)/Q37*R37*H37+K37+L37)</x:f>
      </x:c>
      <x:c r="K37" s="360"/>
      <x:c r="L37" s="358"/>
      <x:c r="M37" s="358"/>
      <x:c r="N37" s="358"/>
      <x:c r="O37" s="358"/>
      <x:c r="P37" s="359"/>
      <x:c r="Q37" s="361" t="str">
        <x:f>IF(C37="","",'Контракт'!$B$13)</x:f>
      </x:c>
      <x:c r="R37" s="362" t="str">
        <x:f>IF(C37="","",'Контракт'!$B$14)</x:f>
      </x:c>
      <x:c r="S37" s="363" t="str">
        <x:f>IF(OR(D37="",M37="",N37="",H37="",Q37="",R37=""),"",IF(D37="Лонг",1,-1)*(N37-M37)/Q37*R37*H37)</x:f>
      </x:c>
      <x:c r="T37" s="364" t="str">
        <x:f>IF(S37="","",S37-O37-P37)</x:f>
      </x:c>
      <x:c r="U37" s="365" t="str">
        <x:f>IF(T37="","",IF(MAX(0,-T37)&gt;I37,"Да","Нет"))</x:f>
      </x:c>
      <x:c r="V37" s="366"/>
      <x:c r="W37" s="367"/>
    </x:row>
    <x:row r="38">
      <x:c r="A38" s="341" t="str">
        <x:f>IF(B38="","",ROW()-6)</x:f>
      </x:c>
      <x:c r="B38" s="356"/>
      <x:c r="C38" s="357"/>
      <x:c r="D38" s="357"/>
      <x:c r="E38" s="357"/>
      <x:c r="F38" s="358"/>
      <x:c r="G38" s="358"/>
      <x:c r="H38" s="358"/>
      <x:c r="I38" s="359"/>
      <x:c r="J38" s="340" t="str">
        <x:f>IF(OR(F38="",G38="",H38="",Q38="",R38=""),"",ABS(F38-G38)/Q38*R38*H38+K38+L38)</x:f>
      </x:c>
      <x:c r="K38" s="360"/>
      <x:c r="L38" s="358"/>
      <x:c r="M38" s="358"/>
      <x:c r="N38" s="358"/>
      <x:c r="O38" s="358"/>
      <x:c r="P38" s="359"/>
      <x:c r="Q38" s="361" t="str">
        <x:f>IF(C38="","",'Контракт'!$B$13)</x:f>
      </x:c>
      <x:c r="R38" s="362" t="str">
        <x:f>IF(C38="","",'Контракт'!$B$14)</x:f>
      </x:c>
      <x:c r="S38" s="363" t="str">
        <x:f>IF(OR(D38="",M38="",N38="",H38="",Q38="",R38=""),"",IF(D38="Лонг",1,-1)*(N38-M38)/Q38*R38*H38)</x:f>
      </x:c>
      <x:c r="T38" s="364" t="str">
        <x:f>IF(S38="","",S38-O38-P38)</x:f>
      </x:c>
      <x:c r="U38" s="365" t="str">
        <x:f>IF(T38="","",IF(MAX(0,-T38)&gt;I38,"Да","Нет"))</x:f>
      </x:c>
      <x:c r="V38" s="366"/>
      <x:c r="W38" s="367"/>
    </x:row>
    <x:row r="39">
      <x:c r="A39" s="341" t="str">
        <x:f>IF(B39="","",ROW()-6)</x:f>
      </x:c>
      <x:c r="B39" s="356"/>
      <x:c r="C39" s="357"/>
      <x:c r="D39" s="357"/>
      <x:c r="E39" s="357"/>
      <x:c r="F39" s="358"/>
      <x:c r="G39" s="358"/>
      <x:c r="H39" s="358"/>
      <x:c r="I39" s="359"/>
      <x:c r="J39" s="340" t="str">
        <x:f>IF(OR(F39="",G39="",H39="",Q39="",R39=""),"",ABS(F39-G39)/Q39*R39*H39+K39+L39)</x:f>
      </x:c>
      <x:c r="K39" s="360"/>
      <x:c r="L39" s="358"/>
      <x:c r="M39" s="358"/>
      <x:c r="N39" s="358"/>
      <x:c r="O39" s="358"/>
      <x:c r="P39" s="359"/>
      <x:c r="Q39" s="361" t="str">
        <x:f>IF(C39="","",'Контракт'!$B$13)</x:f>
      </x:c>
      <x:c r="R39" s="362" t="str">
        <x:f>IF(C39="","",'Контракт'!$B$14)</x:f>
      </x:c>
      <x:c r="S39" s="363" t="str">
        <x:f>IF(OR(D39="",M39="",N39="",H39="",Q39="",R39=""),"",IF(D39="Лонг",1,-1)*(N39-M39)/Q39*R39*H39)</x:f>
      </x:c>
      <x:c r="T39" s="364" t="str">
        <x:f>IF(S39="","",S39-O39-P39)</x:f>
      </x:c>
      <x:c r="U39" s="365" t="str">
        <x:f>IF(T39="","",IF(MAX(0,-T39)&gt;I39,"Да","Нет"))</x:f>
      </x:c>
      <x:c r="V39" s="366"/>
      <x:c r="W39" s="367"/>
    </x:row>
    <x:row r="40">
      <x:c r="A40" s="341" t="str">
        <x:f>IF(B40="","",ROW()-6)</x:f>
      </x:c>
      <x:c r="B40" s="356"/>
      <x:c r="C40" s="357"/>
      <x:c r="D40" s="357"/>
      <x:c r="E40" s="357"/>
      <x:c r="F40" s="358"/>
      <x:c r="G40" s="358"/>
      <x:c r="H40" s="358"/>
      <x:c r="I40" s="359"/>
      <x:c r="J40" s="340" t="str">
        <x:f>IF(OR(F40="",G40="",H40="",Q40="",R40=""),"",ABS(F40-G40)/Q40*R40*H40+K40+L40)</x:f>
      </x:c>
      <x:c r="K40" s="360"/>
      <x:c r="L40" s="358"/>
      <x:c r="M40" s="358"/>
      <x:c r="N40" s="358"/>
      <x:c r="O40" s="358"/>
      <x:c r="P40" s="359"/>
      <x:c r="Q40" s="361" t="str">
        <x:f>IF(C40="","",'Контракт'!$B$13)</x:f>
      </x:c>
      <x:c r="R40" s="362" t="str">
        <x:f>IF(C40="","",'Контракт'!$B$14)</x:f>
      </x:c>
      <x:c r="S40" s="363" t="str">
        <x:f>IF(OR(D40="",M40="",N40="",H40="",Q40="",R40=""),"",IF(D40="Лонг",1,-1)*(N40-M40)/Q40*R40*H40)</x:f>
      </x:c>
      <x:c r="T40" s="364" t="str">
        <x:f>IF(S40="","",S40-O40-P40)</x:f>
      </x:c>
      <x:c r="U40" s="365" t="str">
        <x:f>IF(T40="","",IF(MAX(0,-T40)&gt;I40,"Да","Нет"))</x:f>
      </x:c>
      <x:c r="V40" s="366"/>
      <x:c r="W40" s="367"/>
    </x:row>
    <x:row r="41">
      <x:c r="A41" s="341" t="str">
        <x:f>IF(B41="","",ROW()-6)</x:f>
      </x:c>
      <x:c r="B41" s="356"/>
      <x:c r="C41" s="357"/>
      <x:c r="D41" s="357"/>
      <x:c r="E41" s="357"/>
      <x:c r="F41" s="358"/>
      <x:c r="G41" s="358"/>
      <x:c r="H41" s="358"/>
      <x:c r="I41" s="359"/>
      <x:c r="J41" s="340" t="str">
        <x:f>IF(OR(F41="",G41="",H41="",Q41="",R41=""),"",ABS(F41-G41)/Q41*R41*H41+K41+L41)</x:f>
      </x:c>
      <x:c r="K41" s="360"/>
      <x:c r="L41" s="358"/>
      <x:c r="M41" s="358"/>
      <x:c r="N41" s="358"/>
      <x:c r="O41" s="358"/>
      <x:c r="P41" s="359"/>
      <x:c r="Q41" s="361" t="str">
        <x:f>IF(C41="","",'Контракт'!$B$13)</x:f>
      </x:c>
      <x:c r="R41" s="362" t="str">
        <x:f>IF(C41="","",'Контракт'!$B$14)</x:f>
      </x:c>
      <x:c r="S41" s="363" t="str">
        <x:f>IF(OR(D41="",M41="",N41="",H41="",Q41="",R41=""),"",IF(D41="Лонг",1,-1)*(N41-M41)/Q41*R41*H41)</x:f>
      </x:c>
      <x:c r="T41" s="364" t="str">
        <x:f>IF(S41="","",S41-O41-P41)</x:f>
      </x:c>
      <x:c r="U41" s="365" t="str">
        <x:f>IF(T41="","",IF(MAX(0,-T41)&gt;I41,"Да","Нет"))</x:f>
      </x:c>
      <x:c r="V41" s="366"/>
      <x:c r="W41" s="367"/>
    </x:row>
    <x:row r="42">
      <x:c r="A42" s="341" t="str">
        <x:f>IF(B42="","",ROW()-6)</x:f>
      </x:c>
      <x:c r="B42" s="356"/>
      <x:c r="C42" s="357"/>
      <x:c r="D42" s="357"/>
      <x:c r="E42" s="357"/>
      <x:c r="F42" s="358"/>
      <x:c r="G42" s="358"/>
      <x:c r="H42" s="358"/>
      <x:c r="I42" s="359"/>
      <x:c r="J42" s="340" t="str">
        <x:f>IF(OR(F42="",G42="",H42="",Q42="",R42=""),"",ABS(F42-G42)/Q42*R42*H42+K42+L42)</x:f>
      </x:c>
      <x:c r="K42" s="360"/>
      <x:c r="L42" s="358"/>
      <x:c r="M42" s="358"/>
      <x:c r="N42" s="358"/>
      <x:c r="O42" s="358"/>
      <x:c r="P42" s="359"/>
      <x:c r="Q42" s="361" t="str">
        <x:f>IF(C42="","",'Контракт'!$B$13)</x:f>
      </x:c>
      <x:c r="R42" s="362" t="str">
        <x:f>IF(C42="","",'Контракт'!$B$14)</x:f>
      </x:c>
      <x:c r="S42" s="363" t="str">
        <x:f>IF(OR(D42="",M42="",N42="",H42="",Q42="",R42=""),"",IF(D42="Лонг",1,-1)*(N42-M42)/Q42*R42*H42)</x:f>
      </x:c>
      <x:c r="T42" s="364" t="str">
        <x:f>IF(S42="","",S42-O42-P42)</x:f>
      </x:c>
      <x:c r="U42" s="365" t="str">
        <x:f>IF(T42="","",IF(MAX(0,-T42)&gt;I42,"Да","Нет"))</x:f>
      </x:c>
      <x:c r="V42" s="366"/>
      <x:c r="W42" s="367"/>
    </x:row>
    <x:row r="43">
      <x:c r="A43" s="341" t="str">
        <x:f>IF(B43="","",ROW()-6)</x:f>
      </x:c>
      <x:c r="B43" s="356"/>
      <x:c r="C43" s="357"/>
      <x:c r="D43" s="357"/>
      <x:c r="E43" s="357"/>
      <x:c r="F43" s="358"/>
      <x:c r="G43" s="358"/>
      <x:c r="H43" s="358"/>
      <x:c r="I43" s="359"/>
      <x:c r="J43" s="340" t="str">
        <x:f>IF(OR(F43="",G43="",H43="",Q43="",R43=""),"",ABS(F43-G43)/Q43*R43*H43+K43+L43)</x:f>
      </x:c>
      <x:c r="K43" s="360"/>
      <x:c r="L43" s="358"/>
      <x:c r="M43" s="358"/>
      <x:c r="N43" s="358"/>
      <x:c r="O43" s="358"/>
      <x:c r="P43" s="359"/>
      <x:c r="Q43" s="361" t="str">
        <x:f>IF(C43="","",'Контракт'!$B$13)</x:f>
      </x:c>
      <x:c r="R43" s="362" t="str">
        <x:f>IF(C43="","",'Контракт'!$B$14)</x:f>
      </x:c>
      <x:c r="S43" s="363" t="str">
        <x:f>IF(OR(D43="",M43="",N43="",H43="",Q43="",R43=""),"",IF(D43="Лонг",1,-1)*(N43-M43)/Q43*R43*H43)</x:f>
      </x:c>
      <x:c r="T43" s="364" t="str">
        <x:f>IF(S43="","",S43-O43-P43)</x:f>
      </x:c>
      <x:c r="U43" s="365" t="str">
        <x:f>IF(T43="","",IF(MAX(0,-T43)&gt;I43,"Да","Нет"))</x:f>
      </x:c>
      <x:c r="V43" s="366"/>
      <x:c r="W43" s="367"/>
    </x:row>
    <x:row r="44">
      <x:c r="A44" s="341" t="str">
        <x:f>IF(B44="","",ROW()-6)</x:f>
      </x:c>
      <x:c r="B44" s="356"/>
      <x:c r="C44" s="357"/>
      <x:c r="D44" s="357"/>
      <x:c r="E44" s="357"/>
      <x:c r="F44" s="358"/>
      <x:c r="G44" s="358"/>
      <x:c r="H44" s="358"/>
      <x:c r="I44" s="359"/>
      <x:c r="J44" s="340" t="str">
        <x:f>IF(OR(F44="",G44="",H44="",Q44="",R44=""),"",ABS(F44-G44)/Q44*R44*H44+K44+L44)</x:f>
      </x:c>
      <x:c r="K44" s="360"/>
      <x:c r="L44" s="358"/>
      <x:c r="M44" s="358"/>
      <x:c r="N44" s="358"/>
      <x:c r="O44" s="358"/>
      <x:c r="P44" s="359"/>
      <x:c r="Q44" s="361" t="str">
        <x:f>IF(C44="","",'Контракт'!$B$13)</x:f>
      </x:c>
      <x:c r="R44" s="362" t="str">
        <x:f>IF(C44="","",'Контракт'!$B$14)</x:f>
      </x:c>
      <x:c r="S44" s="363" t="str">
        <x:f>IF(OR(D44="",M44="",N44="",H44="",Q44="",R44=""),"",IF(D44="Лонг",1,-1)*(N44-M44)/Q44*R44*H44)</x:f>
      </x:c>
      <x:c r="T44" s="364" t="str">
        <x:f>IF(S44="","",S44-O44-P44)</x:f>
      </x:c>
      <x:c r="U44" s="365" t="str">
        <x:f>IF(T44="","",IF(MAX(0,-T44)&gt;I44,"Да","Нет"))</x:f>
      </x:c>
      <x:c r="V44" s="366"/>
      <x:c r="W44" s="367"/>
    </x:row>
    <x:row r="45">
      <x:c r="A45" s="341" t="str">
        <x:f>IF(B45="","",ROW()-6)</x:f>
      </x:c>
      <x:c r="B45" s="356"/>
      <x:c r="C45" s="357"/>
      <x:c r="D45" s="357"/>
      <x:c r="E45" s="357"/>
      <x:c r="F45" s="358"/>
      <x:c r="G45" s="358"/>
      <x:c r="H45" s="358"/>
      <x:c r="I45" s="359"/>
      <x:c r="J45" s="340" t="str">
        <x:f>IF(OR(F45="",G45="",H45="",Q45="",R45=""),"",ABS(F45-G45)/Q45*R45*H45+K45+L45)</x:f>
      </x:c>
      <x:c r="K45" s="360"/>
      <x:c r="L45" s="358"/>
      <x:c r="M45" s="358"/>
      <x:c r="N45" s="358"/>
      <x:c r="O45" s="358"/>
      <x:c r="P45" s="359"/>
      <x:c r="Q45" s="361" t="str">
        <x:f>IF(C45="","",'Контракт'!$B$13)</x:f>
      </x:c>
      <x:c r="R45" s="362" t="str">
        <x:f>IF(C45="","",'Контракт'!$B$14)</x:f>
      </x:c>
      <x:c r="S45" s="363" t="str">
        <x:f>IF(OR(D45="",M45="",N45="",H45="",Q45="",R45=""),"",IF(D45="Лонг",1,-1)*(N45-M45)/Q45*R45*H45)</x:f>
      </x:c>
      <x:c r="T45" s="364" t="str">
        <x:f>IF(S45="","",S45-O45-P45)</x:f>
      </x:c>
      <x:c r="U45" s="365" t="str">
        <x:f>IF(T45="","",IF(MAX(0,-T45)&gt;I45,"Да","Нет"))</x:f>
      </x:c>
      <x:c r="V45" s="366"/>
      <x:c r="W45" s="367"/>
    </x:row>
    <x:row r="46">
      <x:c r="A46" s="341" t="str">
        <x:f>IF(B46="","",ROW()-6)</x:f>
      </x:c>
      <x:c r="B46" s="356"/>
      <x:c r="C46" s="357"/>
      <x:c r="D46" s="357"/>
      <x:c r="E46" s="357"/>
      <x:c r="F46" s="358"/>
      <x:c r="G46" s="358"/>
      <x:c r="H46" s="358"/>
      <x:c r="I46" s="359"/>
      <x:c r="J46" s="340" t="str">
        <x:f>IF(OR(F46="",G46="",H46="",Q46="",R46=""),"",ABS(F46-G46)/Q46*R46*H46+K46+L46)</x:f>
      </x:c>
      <x:c r="K46" s="360"/>
      <x:c r="L46" s="358"/>
      <x:c r="M46" s="358"/>
      <x:c r="N46" s="358"/>
      <x:c r="O46" s="358"/>
      <x:c r="P46" s="359"/>
      <x:c r="Q46" s="361" t="str">
        <x:f>IF(C46="","",'Контракт'!$B$13)</x:f>
      </x:c>
      <x:c r="R46" s="362" t="str">
        <x:f>IF(C46="","",'Контракт'!$B$14)</x:f>
      </x:c>
      <x:c r="S46" s="363" t="str">
        <x:f>IF(OR(D46="",M46="",N46="",H46="",Q46="",R46=""),"",IF(D46="Лонг",1,-1)*(N46-M46)/Q46*R46*H46)</x:f>
      </x:c>
      <x:c r="T46" s="364" t="str">
        <x:f>IF(S46="","",S46-O46-P46)</x:f>
      </x:c>
      <x:c r="U46" s="365" t="str">
        <x:f>IF(T46="","",IF(MAX(0,-T46)&gt;I46,"Да","Нет"))</x:f>
      </x:c>
      <x:c r="V46" s="366"/>
      <x:c r="W46" s="367"/>
    </x:row>
    <x:row r="47">
      <x:c r="A47" s="341" t="str">
        <x:f>IF(B47="","",ROW()-6)</x:f>
      </x:c>
      <x:c r="B47" s="356"/>
      <x:c r="C47" s="357"/>
      <x:c r="D47" s="357"/>
      <x:c r="E47" s="357"/>
      <x:c r="F47" s="358"/>
      <x:c r="G47" s="358"/>
      <x:c r="H47" s="358"/>
      <x:c r="I47" s="359"/>
      <x:c r="J47" s="340" t="str">
        <x:f>IF(OR(F47="",G47="",H47="",Q47="",R47=""),"",ABS(F47-G47)/Q47*R47*H47+K47+L47)</x:f>
      </x:c>
      <x:c r="K47" s="360"/>
      <x:c r="L47" s="358"/>
      <x:c r="M47" s="358"/>
      <x:c r="N47" s="358"/>
      <x:c r="O47" s="358"/>
      <x:c r="P47" s="359"/>
      <x:c r="Q47" s="361" t="str">
        <x:f>IF(C47="","",'Контракт'!$B$13)</x:f>
      </x:c>
      <x:c r="R47" s="362" t="str">
        <x:f>IF(C47="","",'Контракт'!$B$14)</x:f>
      </x:c>
      <x:c r="S47" s="363" t="str">
        <x:f>IF(OR(D47="",M47="",N47="",H47="",Q47="",R47=""),"",IF(D47="Лонг",1,-1)*(N47-M47)/Q47*R47*H47)</x:f>
      </x:c>
      <x:c r="T47" s="364" t="str">
        <x:f>IF(S47="","",S47-O47-P47)</x:f>
      </x:c>
      <x:c r="U47" s="365" t="str">
        <x:f>IF(T47="","",IF(MAX(0,-T47)&gt;I47,"Да","Нет"))</x:f>
      </x:c>
      <x:c r="V47" s="366"/>
      <x:c r="W47" s="367"/>
    </x:row>
    <x:row r="48">
      <x:c r="A48" s="341" t="str">
        <x:f>IF(B48="","",ROW()-6)</x:f>
      </x:c>
      <x:c r="B48" s="356"/>
      <x:c r="C48" s="357"/>
      <x:c r="D48" s="357"/>
      <x:c r="E48" s="357"/>
      <x:c r="F48" s="358"/>
      <x:c r="G48" s="358"/>
      <x:c r="H48" s="358"/>
      <x:c r="I48" s="359"/>
      <x:c r="J48" s="340" t="str">
        <x:f>IF(OR(F48="",G48="",H48="",Q48="",R48=""),"",ABS(F48-G48)/Q48*R48*H48+K48+L48)</x:f>
      </x:c>
      <x:c r="K48" s="360"/>
      <x:c r="L48" s="358"/>
      <x:c r="M48" s="358"/>
      <x:c r="N48" s="358"/>
      <x:c r="O48" s="358"/>
      <x:c r="P48" s="359"/>
      <x:c r="Q48" s="361" t="str">
        <x:f>IF(C48="","",'Контракт'!$B$13)</x:f>
      </x:c>
      <x:c r="R48" s="362" t="str">
        <x:f>IF(C48="","",'Контракт'!$B$14)</x:f>
      </x:c>
      <x:c r="S48" s="363" t="str">
        <x:f>IF(OR(D48="",M48="",N48="",H48="",Q48="",R48=""),"",IF(D48="Лонг",1,-1)*(N48-M48)/Q48*R48*H48)</x:f>
      </x:c>
      <x:c r="T48" s="364" t="str">
        <x:f>IF(S48="","",S48-O48-P48)</x:f>
      </x:c>
      <x:c r="U48" s="365" t="str">
        <x:f>IF(T48="","",IF(MAX(0,-T48)&gt;I48,"Да","Нет"))</x:f>
      </x:c>
      <x:c r="V48" s="366"/>
      <x:c r="W48" s="367"/>
    </x:row>
    <x:row r="49">
      <x:c r="A49" s="341" t="str">
        <x:f>IF(B49="","",ROW()-6)</x:f>
      </x:c>
      <x:c r="B49" s="356"/>
      <x:c r="C49" s="357"/>
      <x:c r="D49" s="357"/>
      <x:c r="E49" s="357"/>
      <x:c r="F49" s="358"/>
      <x:c r="G49" s="358"/>
      <x:c r="H49" s="358"/>
      <x:c r="I49" s="359"/>
      <x:c r="J49" s="340" t="str">
        <x:f>IF(OR(F49="",G49="",H49="",Q49="",R49=""),"",ABS(F49-G49)/Q49*R49*H49+K49+L49)</x:f>
      </x:c>
      <x:c r="K49" s="360"/>
      <x:c r="L49" s="358"/>
      <x:c r="M49" s="358"/>
      <x:c r="N49" s="358"/>
      <x:c r="O49" s="358"/>
      <x:c r="P49" s="359"/>
      <x:c r="Q49" s="361" t="str">
        <x:f>IF(C49="","",'Контракт'!$B$13)</x:f>
      </x:c>
      <x:c r="R49" s="362" t="str">
        <x:f>IF(C49="","",'Контракт'!$B$14)</x:f>
      </x:c>
      <x:c r="S49" s="363" t="str">
        <x:f>IF(OR(D49="",M49="",N49="",H49="",Q49="",R49=""),"",IF(D49="Лонг",1,-1)*(N49-M49)/Q49*R49*H49)</x:f>
      </x:c>
      <x:c r="T49" s="364" t="str">
        <x:f>IF(S49="","",S49-O49-P49)</x:f>
      </x:c>
      <x:c r="U49" s="365" t="str">
        <x:f>IF(T49="","",IF(MAX(0,-T49)&gt;I49,"Да","Нет"))</x:f>
      </x:c>
      <x:c r="V49" s="366"/>
      <x:c r="W49" s="367"/>
    </x:row>
    <x:row r="50">
      <x:c r="A50" s="341" t="str">
        <x:f>IF(B50="","",ROW()-6)</x:f>
      </x:c>
      <x:c r="B50" s="356"/>
      <x:c r="C50" s="357"/>
      <x:c r="D50" s="357"/>
      <x:c r="E50" s="357"/>
      <x:c r="F50" s="358"/>
      <x:c r="G50" s="358"/>
      <x:c r="H50" s="358"/>
      <x:c r="I50" s="359"/>
      <x:c r="J50" s="340" t="str">
        <x:f>IF(OR(F50="",G50="",H50="",Q50="",R50=""),"",ABS(F50-G50)/Q50*R50*H50+K50+L50)</x:f>
      </x:c>
      <x:c r="K50" s="360"/>
      <x:c r="L50" s="358"/>
      <x:c r="M50" s="358"/>
      <x:c r="N50" s="358"/>
      <x:c r="O50" s="358"/>
      <x:c r="P50" s="359"/>
      <x:c r="Q50" s="361" t="str">
        <x:f>IF(C50="","",'Контракт'!$B$13)</x:f>
      </x:c>
      <x:c r="R50" s="362" t="str">
        <x:f>IF(C50="","",'Контракт'!$B$14)</x:f>
      </x:c>
      <x:c r="S50" s="363" t="str">
        <x:f>IF(OR(D50="",M50="",N50="",H50="",Q50="",R50=""),"",IF(D50="Лонг",1,-1)*(N50-M50)/Q50*R50*H50)</x:f>
      </x:c>
      <x:c r="T50" s="364" t="str">
        <x:f>IF(S50="","",S50-O50-P50)</x:f>
      </x:c>
      <x:c r="U50" s="365" t="str">
        <x:f>IF(T50="","",IF(MAX(0,-T50)&gt;I50,"Да","Нет"))</x:f>
      </x:c>
      <x:c r="V50" s="366"/>
      <x:c r="W50" s="367"/>
    </x:row>
    <x:row r="51">
      <x:c r="A51" s="341" t="str">
        <x:f>IF(B51="","",ROW()-6)</x:f>
      </x:c>
      <x:c r="B51" s="356"/>
      <x:c r="C51" s="357"/>
      <x:c r="D51" s="357"/>
      <x:c r="E51" s="357"/>
      <x:c r="F51" s="358"/>
      <x:c r="G51" s="358"/>
      <x:c r="H51" s="358"/>
      <x:c r="I51" s="359"/>
      <x:c r="J51" s="340" t="str">
        <x:f>IF(OR(F51="",G51="",H51="",Q51="",R51=""),"",ABS(F51-G51)/Q51*R51*H51+K51+L51)</x:f>
      </x:c>
      <x:c r="K51" s="360"/>
      <x:c r="L51" s="358"/>
      <x:c r="M51" s="358"/>
      <x:c r="N51" s="358"/>
      <x:c r="O51" s="358"/>
      <x:c r="P51" s="359"/>
      <x:c r="Q51" s="361" t="str">
        <x:f>IF(C51="","",'Контракт'!$B$13)</x:f>
      </x:c>
      <x:c r="R51" s="362" t="str">
        <x:f>IF(C51="","",'Контракт'!$B$14)</x:f>
      </x:c>
      <x:c r="S51" s="363" t="str">
        <x:f>IF(OR(D51="",M51="",N51="",H51="",Q51="",R51=""),"",IF(D51="Лонг",1,-1)*(N51-M51)/Q51*R51*H51)</x:f>
      </x:c>
      <x:c r="T51" s="364" t="str">
        <x:f>IF(S51="","",S51-O51-P51)</x:f>
      </x:c>
      <x:c r="U51" s="365" t="str">
        <x:f>IF(T51="","",IF(MAX(0,-T51)&gt;I51,"Да","Нет"))</x:f>
      </x:c>
      <x:c r="V51" s="366"/>
      <x:c r="W51" s="367"/>
    </x:row>
    <x:row r="52">
      <x:c r="A52" s="341" t="str">
        <x:f>IF(B52="","",ROW()-6)</x:f>
      </x:c>
      <x:c r="B52" s="356"/>
      <x:c r="C52" s="357"/>
      <x:c r="D52" s="357"/>
      <x:c r="E52" s="357"/>
      <x:c r="F52" s="358"/>
      <x:c r="G52" s="358"/>
      <x:c r="H52" s="358"/>
      <x:c r="I52" s="359"/>
      <x:c r="J52" s="340" t="str">
        <x:f>IF(OR(F52="",G52="",H52="",Q52="",R52=""),"",ABS(F52-G52)/Q52*R52*H52+K52+L52)</x:f>
      </x:c>
      <x:c r="K52" s="360"/>
      <x:c r="L52" s="358"/>
      <x:c r="M52" s="358"/>
      <x:c r="N52" s="358"/>
      <x:c r="O52" s="358"/>
      <x:c r="P52" s="359"/>
      <x:c r="Q52" s="361" t="str">
        <x:f>IF(C52="","",'Контракт'!$B$13)</x:f>
      </x:c>
      <x:c r="R52" s="362" t="str">
        <x:f>IF(C52="","",'Контракт'!$B$14)</x:f>
      </x:c>
      <x:c r="S52" s="363" t="str">
        <x:f>IF(OR(D52="",M52="",N52="",H52="",Q52="",R52=""),"",IF(D52="Лонг",1,-1)*(N52-M52)/Q52*R52*H52)</x:f>
      </x:c>
      <x:c r="T52" s="364" t="str">
        <x:f>IF(S52="","",S52-O52-P52)</x:f>
      </x:c>
      <x:c r="U52" s="365" t="str">
        <x:f>IF(T52="","",IF(MAX(0,-T52)&gt;I52,"Да","Нет"))</x:f>
      </x:c>
      <x:c r="V52" s="366"/>
      <x:c r="W52" s="367"/>
    </x:row>
    <x:row r="53">
      <x:c r="A53" s="341" t="str">
        <x:f>IF(B53="","",ROW()-6)</x:f>
      </x:c>
      <x:c r="B53" s="356"/>
      <x:c r="C53" s="357"/>
      <x:c r="D53" s="357"/>
      <x:c r="E53" s="357"/>
      <x:c r="F53" s="358"/>
      <x:c r="G53" s="358"/>
      <x:c r="H53" s="358"/>
      <x:c r="I53" s="359"/>
      <x:c r="J53" s="340" t="str">
        <x:f>IF(OR(F53="",G53="",H53="",Q53="",R53=""),"",ABS(F53-G53)/Q53*R53*H53+K53+L53)</x:f>
      </x:c>
      <x:c r="K53" s="360"/>
      <x:c r="L53" s="358"/>
      <x:c r="M53" s="358"/>
      <x:c r="N53" s="358"/>
      <x:c r="O53" s="358"/>
      <x:c r="P53" s="359"/>
      <x:c r="Q53" s="361" t="str">
        <x:f>IF(C53="","",'Контракт'!$B$13)</x:f>
      </x:c>
      <x:c r="R53" s="362" t="str">
        <x:f>IF(C53="","",'Контракт'!$B$14)</x:f>
      </x:c>
      <x:c r="S53" s="363" t="str">
        <x:f>IF(OR(D53="",M53="",N53="",H53="",Q53="",R53=""),"",IF(D53="Лонг",1,-1)*(N53-M53)/Q53*R53*H53)</x:f>
      </x:c>
      <x:c r="T53" s="364" t="str">
        <x:f>IF(S53="","",S53-O53-P53)</x:f>
      </x:c>
      <x:c r="U53" s="365" t="str">
        <x:f>IF(T53="","",IF(MAX(0,-T53)&gt;I53,"Да","Нет"))</x:f>
      </x:c>
      <x:c r="V53" s="366"/>
      <x:c r="W53" s="367"/>
    </x:row>
    <x:row r="54">
      <x:c r="A54" s="341" t="str">
        <x:f>IF(B54="","",ROW()-6)</x:f>
      </x:c>
      <x:c r="B54" s="356"/>
      <x:c r="C54" s="357"/>
      <x:c r="D54" s="357"/>
      <x:c r="E54" s="357"/>
      <x:c r="F54" s="358"/>
      <x:c r="G54" s="358"/>
      <x:c r="H54" s="358"/>
      <x:c r="I54" s="359"/>
      <x:c r="J54" s="340" t="str">
        <x:f>IF(OR(F54="",G54="",H54="",Q54="",R54=""),"",ABS(F54-G54)/Q54*R54*H54+K54+L54)</x:f>
      </x:c>
      <x:c r="K54" s="360"/>
      <x:c r="L54" s="358"/>
      <x:c r="M54" s="358"/>
      <x:c r="N54" s="358"/>
      <x:c r="O54" s="358"/>
      <x:c r="P54" s="359"/>
      <x:c r="Q54" s="361" t="str">
        <x:f>IF(C54="","",'Контракт'!$B$13)</x:f>
      </x:c>
      <x:c r="R54" s="362" t="str">
        <x:f>IF(C54="","",'Контракт'!$B$14)</x:f>
      </x:c>
      <x:c r="S54" s="363" t="str">
        <x:f>IF(OR(D54="",M54="",N54="",H54="",Q54="",R54=""),"",IF(D54="Лонг",1,-1)*(N54-M54)/Q54*R54*H54)</x:f>
      </x:c>
      <x:c r="T54" s="364" t="str">
        <x:f>IF(S54="","",S54-O54-P54)</x:f>
      </x:c>
      <x:c r="U54" s="365" t="str">
        <x:f>IF(T54="","",IF(MAX(0,-T54)&gt;I54,"Да","Нет"))</x:f>
      </x:c>
      <x:c r="V54" s="366"/>
      <x:c r="W54" s="367"/>
    </x:row>
    <x:row r="55">
      <x:c r="A55" s="341" t="str">
        <x:f>IF(B55="","",ROW()-6)</x:f>
      </x:c>
      <x:c r="B55" s="356"/>
      <x:c r="C55" s="357"/>
      <x:c r="D55" s="357"/>
      <x:c r="E55" s="357"/>
      <x:c r="F55" s="358"/>
      <x:c r="G55" s="358"/>
      <x:c r="H55" s="358"/>
      <x:c r="I55" s="359"/>
      <x:c r="J55" s="340" t="str">
        <x:f>IF(OR(F55="",G55="",H55="",Q55="",R55=""),"",ABS(F55-G55)/Q55*R55*H55+K55+L55)</x:f>
      </x:c>
      <x:c r="K55" s="360"/>
      <x:c r="L55" s="358"/>
      <x:c r="M55" s="358"/>
      <x:c r="N55" s="358"/>
      <x:c r="O55" s="358"/>
      <x:c r="P55" s="359"/>
      <x:c r="Q55" s="361" t="str">
        <x:f>IF(C55="","",'Контракт'!$B$13)</x:f>
      </x:c>
      <x:c r="R55" s="362" t="str">
        <x:f>IF(C55="","",'Контракт'!$B$14)</x:f>
      </x:c>
      <x:c r="S55" s="363" t="str">
        <x:f>IF(OR(D55="",M55="",N55="",H55="",Q55="",R55=""),"",IF(D55="Лонг",1,-1)*(N55-M55)/Q55*R55*H55)</x:f>
      </x:c>
      <x:c r="T55" s="364" t="str">
        <x:f>IF(S55="","",S55-O55-P55)</x:f>
      </x:c>
      <x:c r="U55" s="365" t="str">
        <x:f>IF(T55="","",IF(MAX(0,-T55)&gt;I55,"Да","Нет"))</x:f>
      </x:c>
      <x:c r="V55" s="366"/>
      <x:c r="W55" s="367"/>
    </x:row>
    <x:row r="56">
      <x:c r="A56" s="341" t="str">
        <x:f>IF(B56="","",ROW()-6)</x:f>
      </x:c>
      <x:c r="B56" s="356"/>
      <x:c r="C56" s="357"/>
      <x:c r="D56" s="357"/>
      <x:c r="E56" s="357"/>
      <x:c r="F56" s="358"/>
      <x:c r="G56" s="358"/>
      <x:c r="H56" s="358"/>
      <x:c r="I56" s="359"/>
      <x:c r="J56" s="340" t="str">
        <x:f>IF(OR(F56="",G56="",H56="",Q56="",R56=""),"",ABS(F56-G56)/Q56*R56*H56+K56+L56)</x:f>
      </x:c>
      <x:c r="K56" s="360"/>
      <x:c r="L56" s="358"/>
      <x:c r="M56" s="358"/>
      <x:c r="N56" s="358"/>
      <x:c r="O56" s="358"/>
      <x:c r="P56" s="359"/>
      <x:c r="Q56" s="361" t="str">
        <x:f>IF(C56="","",'Контракт'!$B$13)</x:f>
      </x:c>
      <x:c r="R56" s="362" t="str">
        <x:f>IF(C56="","",'Контракт'!$B$14)</x:f>
      </x:c>
      <x:c r="S56" s="363" t="str">
        <x:f>IF(OR(D56="",M56="",N56="",H56="",Q56="",R56=""),"",IF(D56="Лонг",1,-1)*(N56-M56)/Q56*R56*H56)</x:f>
      </x:c>
      <x:c r="T56" s="364" t="str">
        <x:f>IF(S56="","",S56-O56-P56)</x:f>
      </x:c>
      <x:c r="U56" s="365" t="str">
        <x:f>IF(T56="","",IF(MAX(0,-T56)&gt;I56,"Да","Нет"))</x:f>
      </x:c>
      <x:c r="V56" s="366"/>
      <x:c r="W56" s="367"/>
    </x:row>
    <x:row r="57">
      <x:c r="A57" s="341" t="str">
        <x:f>IF(B57="","",ROW()-6)</x:f>
      </x:c>
      <x:c r="B57" s="356"/>
      <x:c r="C57" s="357"/>
      <x:c r="D57" s="357"/>
      <x:c r="E57" s="357"/>
      <x:c r="F57" s="358"/>
      <x:c r="G57" s="358"/>
      <x:c r="H57" s="358"/>
      <x:c r="I57" s="359"/>
      <x:c r="J57" s="340" t="str">
        <x:f>IF(OR(F57="",G57="",H57="",Q57="",R57=""),"",ABS(F57-G57)/Q57*R57*H57+K57+L57)</x:f>
      </x:c>
      <x:c r="K57" s="360"/>
      <x:c r="L57" s="358"/>
      <x:c r="M57" s="358"/>
      <x:c r="N57" s="358"/>
      <x:c r="O57" s="358"/>
      <x:c r="P57" s="359"/>
      <x:c r="Q57" s="361" t="str">
        <x:f>IF(C57="","",'Контракт'!$B$13)</x:f>
      </x:c>
      <x:c r="R57" s="362" t="str">
        <x:f>IF(C57="","",'Контракт'!$B$14)</x:f>
      </x:c>
      <x:c r="S57" s="363" t="str">
        <x:f>IF(OR(D57="",M57="",N57="",H57="",Q57="",R57=""),"",IF(D57="Лонг",1,-1)*(N57-M57)/Q57*R57*H57)</x:f>
      </x:c>
      <x:c r="T57" s="364" t="str">
        <x:f>IF(S57="","",S57-O57-P57)</x:f>
      </x:c>
      <x:c r="U57" s="365" t="str">
        <x:f>IF(T57="","",IF(MAX(0,-T57)&gt;I57,"Да","Нет"))</x:f>
      </x:c>
      <x:c r="V57" s="366"/>
      <x:c r="W57" s="367"/>
    </x:row>
    <x:row r="58">
      <x:c r="A58" s="341" t="str">
        <x:f>IF(B58="","",ROW()-6)</x:f>
      </x:c>
      <x:c r="B58" s="356"/>
      <x:c r="C58" s="357"/>
      <x:c r="D58" s="357"/>
      <x:c r="E58" s="357"/>
      <x:c r="F58" s="358"/>
      <x:c r="G58" s="358"/>
      <x:c r="H58" s="358"/>
      <x:c r="I58" s="359"/>
      <x:c r="J58" s="340" t="str">
        <x:f>IF(OR(F58="",G58="",H58="",Q58="",R58=""),"",ABS(F58-G58)/Q58*R58*H58+K58+L58)</x:f>
      </x:c>
      <x:c r="K58" s="360"/>
      <x:c r="L58" s="358"/>
      <x:c r="M58" s="358"/>
      <x:c r="N58" s="358"/>
      <x:c r="O58" s="358"/>
      <x:c r="P58" s="359"/>
      <x:c r="Q58" s="361" t="str">
        <x:f>IF(C58="","",'Контракт'!$B$13)</x:f>
      </x:c>
      <x:c r="R58" s="362" t="str">
        <x:f>IF(C58="","",'Контракт'!$B$14)</x:f>
      </x:c>
      <x:c r="S58" s="363" t="str">
        <x:f>IF(OR(D58="",M58="",N58="",H58="",Q58="",R58=""),"",IF(D58="Лонг",1,-1)*(N58-M58)/Q58*R58*H58)</x:f>
      </x:c>
      <x:c r="T58" s="364" t="str">
        <x:f>IF(S58="","",S58-O58-P58)</x:f>
      </x:c>
      <x:c r="U58" s="365" t="str">
        <x:f>IF(T58="","",IF(MAX(0,-T58)&gt;I58,"Да","Нет"))</x:f>
      </x:c>
      <x:c r="V58" s="366"/>
      <x:c r="W58" s="367"/>
    </x:row>
    <x:row r="59">
      <x:c r="A59" s="341" t="str">
        <x:f>IF(B59="","",ROW()-6)</x:f>
      </x:c>
      <x:c r="B59" s="356"/>
      <x:c r="C59" s="357"/>
      <x:c r="D59" s="357"/>
      <x:c r="E59" s="357"/>
      <x:c r="F59" s="358"/>
      <x:c r="G59" s="358"/>
      <x:c r="H59" s="358"/>
      <x:c r="I59" s="359"/>
      <x:c r="J59" s="340" t="str">
        <x:f>IF(OR(F59="",G59="",H59="",Q59="",R59=""),"",ABS(F59-G59)/Q59*R59*H59+K59+L59)</x:f>
      </x:c>
      <x:c r="K59" s="360"/>
      <x:c r="L59" s="358"/>
      <x:c r="M59" s="358"/>
      <x:c r="N59" s="358"/>
      <x:c r="O59" s="358"/>
      <x:c r="P59" s="359"/>
      <x:c r="Q59" s="361" t="str">
        <x:f>IF(C59="","",'Контракт'!$B$13)</x:f>
      </x:c>
      <x:c r="R59" s="362" t="str">
        <x:f>IF(C59="","",'Контракт'!$B$14)</x:f>
      </x:c>
      <x:c r="S59" s="363" t="str">
        <x:f>IF(OR(D59="",M59="",N59="",H59="",Q59="",R59=""),"",IF(D59="Лонг",1,-1)*(N59-M59)/Q59*R59*H59)</x:f>
      </x:c>
      <x:c r="T59" s="364" t="str">
        <x:f>IF(S59="","",S59-O59-P59)</x:f>
      </x:c>
      <x:c r="U59" s="365" t="str">
        <x:f>IF(T59="","",IF(MAX(0,-T59)&gt;I59,"Да","Нет"))</x:f>
      </x:c>
      <x:c r="V59" s="366"/>
      <x:c r="W59" s="367"/>
    </x:row>
    <x:row r="60">
      <x:c r="A60" s="341" t="str">
        <x:f>IF(B60="","",ROW()-6)</x:f>
      </x:c>
      <x:c r="B60" s="356"/>
      <x:c r="C60" s="357"/>
      <x:c r="D60" s="357"/>
      <x:c r="E60" s="357"/>
      <x:c r="F60" s="358"/>
      <x:c r="G60" s="358"/>
      <x:c r="H60" s="358"/>
      <x:c r="I60" s="359"/>
      <x:c r="J60" s="340" t="str">
        <x:f>IF(OR(F60="",G60="",H60="",Q60="",R60=""),"",ABS(F60-G60)/Q60*R60*H60+K60+L60)</x:f>
      </x:c>
      <x:c r="K60" s="360"/>
      <x:c r="L60" s="358"/>
      <x:c r="M60" s="358"/>
      <x:c r="N60" s="358"/>
      <x:c r="O60" s="358"/>
      <x:c r="P60" s="359"/>
      <x:c r="Q60" s="361" t="str">
        <x:f>IF(C60="","",'Контракт'!$B$13)</x:f>
      </x:c>
      <x:c r="R60" s="362" t="str">
        <x:f>IF(C60="","",'Контракт'!$B$14)</x:f>
      </x:c>
      <x:c r="S60" s="363" t="str">
        <x:f>IF(OR(D60="",M60="",N60="",H60="",Q60="",R60=""),"",IF(D60="Лонг",1,-1)*(N60-M60)/Q60*R60*H60)</x:f>
      </x:c>
      <x:c r="T60" s="364" t="str">
        <x:f>IF(S60="","",S60-O60-P60)</x:f>
      </x:c>
      <x:c r="U60" s="365" t="str">
        <x:f>IF(T60="","",IF(MAX(0,-T60)&gt;I60,"Да","Нет"))</x:f>
      </x:c>
      <x:c r="V60" s="366"/>
      <x:c r="W60" s="367"/>
    </x:row>
    <x:row r="61">
      <x:c r="A61" s="341" t="str">
        <x:f>IF(B61="","",ROW()-6)</x:f>
      </x:c>
      <x:c r="B61" s="356"/>
      <x:c r="C61" s="357"/>
      <x:c r="D61" s="357"/>
      <x:c r="E61" s="357"/>
      <x:c r="F61" s="358"/>
      <x:c r="G61" s="358"/>
      <x:c r="H61" s="358"/>
      <x:c r="I61" s="359"/>
      <x:c r="J61" s="340" t="str">
        <x:f>IF(OR(F61="",G61="",H61="",Q61="",R61=""),"",ABS(F61-G61)/Q61*R61*H61+K61+L61)</x:f>
      </x:c>
      <x:c r="K61" s="360"/>
      <x:c r="L61" s="358"/>
      <x:c r="M61" s="358"/>
      <x:c r="N61" s="358"/>
      <x:c r="O61" s="358"/>
      <x:c r="P61" s="359"/>
      <x:c r="Q61" s="361" t="str">
        <x:f>IF(C61="","",'Контракт'!$B$13)</x:f>
      </x:c>
      <x:c r="R61" s="362" t="str">
        <x:f>IF(C61="","",'Контракт'!$B$14)</x:f>
      </x:c>
      <x:c r="S61" s="363" t="str">
        <x:f>IF(OR(D61="",M61="",N61="",H61="",Q61="",R61=""),"",IF(D61="Лонг",1,-1)*(N61-M61)/Q61*R61*H61)</x:f>
      </x:c>
      <x:c r="T61" s="364" t="str">
        <x:f>IF(S61="","",S61-O61-P61)</x:f>
      </x:c>
      <x:c r="U61" s="365" t="str">
        <x:f>IF(T61="","",IF(MAX(0,-T61)&gt;I61,"Да","Нет"))</x:f>
      </x:c>
      <x:c r="V61" s="366"/>
      <x:c r="W61" s="367"/>
    </x:row>
    <x:row r="62">
      <x:c r="A62" s="341" t="str">
        <x:f>IF(B62="","",ROW()-6)</x:f>
      </x:c>
      <x:c r="B62" s="356"/>
      <x:c r="C62" s="357"/>
      <x:c r="D62" s="357"/>
      <x:c r="E62" s="357"/>
      <x:c r="F62" s="358"/>
      <x:c r="G62" s="358"/>
      <x:c r="H62" s="358"/>
      <x:c r="I62" s="359"/>
      <x:c r="J62" s="340" t="str">
        <x:f>IF(OR(F62="",G62="",H62="",Q62="",R62=""),"",ABS(F62-G62)/Q62*R62*H62+K62+L62)</x:f>
      </x:c>
      <x:c r="K62" s="360"/>
      <x:c r="L62" s="358"/>
      <x:c r="M62" s="358"/>
      <x:c r="N62" s="358"/>
      <x:c r="O62" s="358"/>
      <x:c r="P62" s="359"/>
      <x:c r="Q62" s="361" t="str">
        <x:f>IF(C62="","",'Контракт'!$B$13)</x:f>
      </x:c>
      <x:c r="R62" s="362" t="str">
        <x:f>IF(C62="","",'Контракт'!$B$14)</x:f>
      </x:c>
      <x:c r="S62" s="363" t="str">
        <x:f>IF(OR(D62="",M62="",N62="",H62="",Q62="",R62=""),"",IF(D62="Лонг",1,-1)*(N62-M62)/Q62*R62*H62)</x:f>
      </x:c>
      <x:c r="T62" s="364" t="str">
        <x:f>IF(S62="","",S62-O62-P62)</x:f>
      </x:c>
      <x:c r="U62" s="365" t="str">
        <x:f>IF(T62="","",IF(MAX(0,-T62)&gt;I62,"Да","Нет"))</x:f>
      </x:c>
      <x:c r="V62" s="366"/>
      <x:c r="W62" s="367"/>
    </x:row>
    <x:row r="63">
      <x:c r="A63" s="341" t="str">
        <x:f>IF(B63="","",ROW()-6)</x:f>
      </x:c>
      <x:c r="B63" s="356"/>
      <x:c r="C63" s="357"/>
      <x:c r="D63" s="357"/>
      <x:c r="E63" s="357"/>
      <x:c r="F63" s="358"/>
      <x:c r="G63" s="358"/>
      <x:c r="H63" s="358"/>
      <x:c r="I63" s="359"/>
      <x:c r="J63" s="340" t="str">
        <x:f>IF(OR(F63="",G63="",H63="",Q63="",R63=""),"",ABS(F63-G63)/Q63*R63*H63+K63+L63)</x:f>
      </x:c>
      <x:c r="K63" s="360"/>
      <x:c r="L63" s="358"/>
      <x:c r="M63" s="358"/>
      <x:c r="N63" s="358"/>
      <x:c r="O63" s="358"/>
      <x:c r="P63" s="359"/>
      <x:c r="Q63" s="361" t="str">
        <x:f>IF(C63="","",'Контракт'!$B$13)</x:f>
      </x:c>
      <x:c r="R63" s="362" t="str">
        <x:f>IF(C63="","",'Контракт'!$B$14)</x:f>
      </x:c>
      <x:c r="S63" s="363" t="str">
        <x:f>IF(OR(D63="",M63="",N63="",H63="",Q63="",R63=""),"",IF(D63="Лонг",1,-1)*(N63-M63)/Q63*R63*H63)</x:f>
      </x:c>
      <x:c r="T63" s="364" t="str">
        <x:f>IF(S63="","",S63-O63-P63)</x:f>
      </x:c>
      <x:c r="U63" s="365" t="str">
        <x:f>IF(T63="","",IF(MAX(0,-T63)&gt;I63,"Да","Нет"))</x:f>
      </x:c>
      <x:c r="V63" s="366"/>
      <x:c r="W63" s="367"/>
    </x:row>
    <x:row r="64">
      <x:c r="A64" s="341" t="str">
        <x:f>IF(B64="","",ROW()-6)</x:f>
      </x:c>
      <x:c r="B64" s="356"/>
      <x:c r="C64" s="357"/>
      <x:c r="D64" s="357"/>
      <x:c r="E64" s="357"/>
      <x:c r="F64" s="358"/>
      <x:c r="G64" s="358"/>
      <x:c r="H64" s="358"/>
      <x:c r="I64" s="359"/>
      <x:c r="J64" s="340" t="str">
        <x:f>IF(OR(F64="",G64="",H64="",Q64="",R64=""),"",ABS(F64-G64)/Q64*R64*H64+K64+L64)</x:f>
      </x:c>
      <x:c r="K64" s="360"/>
      <x:c r="L64" s="358"/>
      <x:c r="M64" s="358"/>
      <x:c r="N64" s="358"/>
      <x:c r="O64" s="358"/>
      <x:c r="P64" s="359"/>
      <x:c r="Q64" s="361" t="str">
        <x:f>IF(C64="","",'Контракт'!$B$13)</x:f>
      </x:c>
      <x:c r="R64" s="362" t="str">
        <x:f>IF(C64="","",'Контракт'!$B$14)</x:f>
      </x:c>
      <x:c r="S64" s="363" t="str">
        <x:f>IF(OR(D64="",M64="",N64="",H64="",Q64="",R64=""),"",IF(D64="Лонг",1,-1)*(N64-M64)/Q64*R64*H64)</x:f>
      </x:c>
      <x:c r="T64" s="364" t="str">
        <x:f>IF(S64="","",S64-O64-P64)</x:f>
      </x:c>
      <x:c r="U64" s="365" t="str">
        <x:f>IF(T64="","",IF(MAX(0,-T64)&gt;I64,"Да","Нет"))</x:f>
      </x:c>
      <x:c r="V64" s="366"/>
      <x:c r="W64" s="367"/>
    </x:row>
    <x:row r="65">
      <x:c r="A65" s="341" t="str">
        <x:f>IF(B65="","",ROW()-6)</x:f>
      </x:c>
      <x:c r="B65" s="356"/>
      <x:c r="C65" s="357"/>
      <x:c r="D65" s="357"/>
      <x:c r="E65" s="357"/>
      <x:c r="F65" s="358"/>
      <x:c r="G65" s="358"/>
      <x:c r="H65" s="358"/>
      <x:c r="I65" s="359"/>
      <x:c r="J65" s="340" t="str">
        <x:f>IF(OR(F65="",G65="",H65="",Q65="",R65=""),"",ABS(F65-G65)/Q65*R65*H65+K65+L65)</x:f>
      </x:c>
      <x:c r="K65" s="360"/>
      <x:c r="L65" s="358"/>
      <x:c r="M65" s="358"/>
      <x:c r="N65" s="358"/>
      <x:c r="O65" s="358"/>
      <x:c r="P65" s="359"/>
      <x:c r="Q65" s="361" t="str">
        <x:f>IF(C65="","",'Контракт'!$B$13)</x:f>
      </x:c>
      <x:c r="R65" s="362" t="str">
        <x:f>IF(C65="","",'Контракт'!$B$14)</x:f>
      </x:c>
      <x:c r="S65" s="363" t="str">
        <x:f>IF(OR(D65="",M65="",N65="",H65="",Q65="",R65=""),"",IF(D65="Лонг",1,-1)*(N65-M65)/Q65*R65*H65)</x:f>
      </x:c>
      <x:c r="T65" s="364" t="str">
        <x:f>IF(S65="","",S65-O65-P65)</x:f>
      </x:c>
      <x:c r="U65" s="365" t="str">
        <x:f>IF(T65="","",IF(MAX(0,-T65)&gt;I65,"Да","Нет"))</x:f>
      </x:c>
      <x:c r="V65" s="366"/>
      <x:c r="W65" s="367"/>
    </x:row>
    <x:row r="66">
      <x:c r="A66" s="341" t="str">
        <x:f>IF(B66="","",ROW()-6)</x:f>
      </x:c>
      <x:c r="B66" s="356"/>
      <x:c r="C66" s="357"/>
      <x:c r="D66" s="357"/>
      <x:c r="E66" s="357"/>
      <x:c r="F66" s="358"/>
      <x:c r="G66" s="358"/>
      <x:c r="H66" s="358"/>
      <x:c r="I66" s="359"/>
      <x:c r="J66" s="340" t="str">
        <x:f>IF(OR(F66="",G66="",H66="",Q66="",R66=""),"",ABS(F66-G66)/Q66*R66*H66+K66+L66)</x:f>
      </x:c>
      <x:c r="K66" s="360"/>
      <x:c r="L66" s="358"/>
      <x:c r="M66" s="358"/>
      <x:c r="N66" s="358"/>
      <x:c r="O66" s="358"/>
      <x:c r="P66" s="359"/>
      <x:c r="Q66" s="361" t="str">
        <x:f>IF(C66="","",'Контракт'!$B$13)</x:f>
      </x:c>
      <x:c r="R66" s="362" t="str">
        <x:f>IF(C66="","",'Контракт'!$B$14)</x:f>
      </x:c>
      <x:c r="S66" s="363" t="str">
        <x:f>IF(OR(D66="",M66="",N66="",H66="",Q66="",R66=""),"",IF(D66="Лонг",1,-1)*(N66-M66)/Q66*R66*H66)</x:f>
      </x:c>
      <x:c r="T66" s="364" t="str">
        <x:f>IF(S66="","",S66-O66-P66)</x:f>
      </x:c>
      <x:c r="U66" s="365" t="str">
        <x:f>IF(T66="","",IF(MAX(0,-T66)&gt;I66,"Да","Нет"))</x:f>
      </x:c>
      <x:c r="V66" s="366"/>
      <x:c r="W66" s="367"/>
    </x:row>
    <x:row r="67">
      <x:c r="A67" s="341" t="str">
        <x:f>IF(B67="","",ROW()-6)</x:f>
      </x:c>
      <x:c r="B67" s="356"/>
      <x:c r="C67" s="357"/>
      <x:c r="D67" s="357"/>
      <x:c r="E67" s="357"/>
      <x:c r="F67" s="358"/>
      <x:c r="G67" s="358"/>
      <x:c r="H67" s="358"/>
      <x:c r="I67" s="359"/>
      <x:c r="J67" s="340" t="str">
        <x:f>IF(OR(F67="",G67="",H67="",Q67="",R67=""),"",ABS(F67-G67)/Q67*R67*H67+K67+L67)</x:f>
      </x:c>
      <x:c r="K67" s="360"/>
      <x:c r="L67" s="358"/>
      <x:c r="M67" s="358"/>
      <x:c r="N67" s="358"/>
      <x:c r="O67" s="358"/>
      <x:c r="P67" s="359"/>
      <x:c r="Q67" s="361" t="str">
        <x:f>IF(C67="","",'Контракт'!$B$13)</x:f>
      </x:c>
      <x:c r="R67" s="362" t="str">
        <x:f>IF(C67="","",'Контракт'!$B$14)</x:f>
      </x:c>
      <x:c r="S67" s="363" t="str">
        <x:f>IF(OR(D67="",M67="",N67="",H67="",Q67="",R67=""),"",IF(D67="Лонг",1,-1)*(N67-M67)/Q67*R67*H67)</x:f>
      </x:c>
      <x:c r="T67" s="364" t="str">
        <x:f>IF(S67="","",S67-O67-P67)</x:f>
      </x:c>
      <x:c r="U67" s="365" t="str">
        <x:f>IF(T67="","",IF(MAX(0,-T67)&gt;I67,"Да","Нет"))</x:f>
      </x:c>
      <x:c r="V67" s="366"/>
      <x:c r="W67" s="367"/>
    </x:row>
    <x:row r="68">
      <x:c r="A68" s="341" t="str">
        <x:f>IF(B68="","",ROW()-6)</x:f>
      </x:c>
      <x:c r="B68" s="356"/>
      <x:c r="C68" s="357"/>
      <x:c r="D68" s="357"/>
      <x:c r="E68" s="357"/>
      <x:c r="F68" s="358"/>
      <x:c r="G68" s="358"/>
      <x:c r="H68" s="358"/>
      <x:c r="I68" s="359"/>
      <x:c r="J68" s="340" t="str">
        <x:f>IF(OR(F68="",G68="",H68="",Q68="",R68=""),"",ABS(F68-G68)/Q68*R68*H68+K68+L68)</x:f>
      </x:c>
      <x:c r="K68" s="360"/>
      <x:c r="L68" s="358"/>
      <x:c r="M68" s="358"/>
      <x:c r="N68" s="358"/>
      <x:c r="O68" s="358"/>
      <x:c r="P68" s="359"/>
      <x:c r="Q68" s="361" t="str">
        <x:f>IF(C68="","",'Контракт'!$B$13)</x:f>
      </x:c>
      <x:c r="R68" s="362" t="str">
        <x:f>IF(C68="","",'Контракт'!$B$14)</x:f>
      </x:c>
      <x:c r="S68" s="363" t="str">
        <x:f>IF(OR(D68="",M68="",N68="",H68="",Q68="",R68=""),"",IF(D68="Лонг",1,-1)*(N68-M68)/Q68*R68*H68)</x:f>
      </x:c>
      <x:c r="T68" s="364" t="str">
        <x:f>IF(S68="","",S68-O68-P68)</x:f>
      </x:c>
      <x:c r="U68" s="365" t="str">
        <x:f>IF(T68="","",IF(MAX(0,-T68)&gt;I68,"Да","Нет"))</x:f>
      </x:c>
      <x:c r="V68" s="366"/>
      <x:c r="W68" s="367"/>
    </x:row>
    <x:row r="69">
      <x:c r="A69" s="341" t="str">
        <x:f>IF(B69="","",ROW()-6)</x:f>
      </x:c>
      <x:c r="B69" s="356"/>
      <x:c r="C69" s="357"/>
      <x:c r="D69" s="357"/>
      <x:c r="E69" s="357"/>
      <x:c r="F69" s="358"/>
      <x:c r="G69" s="358"/>
      <x:c r="H69" s="358"/>
      <x:c r="I69" s="359"/>
      <x:c r="J69" s="340" t="str">
        <x:f>IF(OR(F69="",G69="",H69="",Q69="",R69=""),"",ABS(F69-G69)/Q69*R69*H69+K69+L69)</x:f>
      </x:c>
      <x:c r="K69" s="360"/>
      <x:c r="L69" s="358"/>
      <x:c r="M69" s="358"/>
      <x:c r="N69" s="358"/>
      <x:c r="O69" s="358"/>
      <x:c r="P69" s="359"/>
      <x:c r="Q69" s="361" t="str">
        <x:f>IF(C69="","",'Контракт'!$B$13)</x:f>
      </x:c>
      <x:c r="R69" s="362" t="str">
        <x:f>IF(C69="","",'Контракт'!$B$14)</x:f>
      </x:c>
      <x:c r="S69" s="363" t="str">
        <x:f>IF(OR(D69="",M69="",N69="",H69="",Q69="",R69=""),"",IF(D69="Лонг",1,-1)*(N69-M69)/Q69*R69*H69)</x:f>
      </x:c>
      <x:c r="T69" s="364" t="str">
        <x:f>IF(S69="","",S69-O69-P69)</x:f>
      </x:c>
      <x:c r="U69" s="365" t="str">
        <x:f>IF(T69="","",IF(MAX(0,-T69)&gt;I69,"Да","Нет"))</x:f>
      </x:c>
      <x:c r="V69" s="366"/>
      <x:c r="W69" s="367"/>
    </x:row>
    <x:row r="70">
      <x:c r="A70" s="341" t="str">
        <x:f>IF(B70="","",ROW()-6)</x:f>
      </x:c>
      <x:c r="B70" s="356"/>
      <x:c r="C70" s="357"/>
      <x:c r="D70" s="357"/>
      <x:c r="E70" s="357"/>
      <x:c r="F70" s="358"/>
      <x:c r="G70" s="358"/>
      <x:c r="H70" s="358"/>
      <x:c r="I70" s="359"/>
      <x:c r="J70" s="340" t="str">
        <x:f>IF(OR(F70="",G70="",H70="",Q70="",R70=""),"",ABS(F70-G70)/Q70*R70*H70+K70+L70)</x:f>
      </x:c>
      <x:c r="K70" s="360"/>
      <x:c r="L70" s="358"/>
      <x:c r="M70" s="358"/>
      <x:c r="N70" s="358"/>
      <x:c r="O70" s="358"/>
      <x:c r="P70" s="359"/>
      <x:c r="Q70" s="361" t="str">
        <x:f>IF(C70="","",'Контракт'!$B$13)</x:f>
      </x:c>
      <x:c r="R70" s="362" t="str">
        <x:f>IF(C70="","",'Контракт'!$B$14)</x:f>
      </x:c>
      <x:c r="S70" s="363" t="str">
        <x:f>IF(OR(D70="",M70="",N70="",H70="",Q70="",R70=""),"",IF(D70="Лонг",1,-1)*(N70-M70)/Q70*R70*H70)</x:f>
      </x:c>
      <x:c r="T70" s="364" t="str">
        <x:f>IF(S70="","",S70-O70-P70)</x:f>
      </x:c>
      <x:c r="U70" s="365" t="str">
        <x:f>IF(T70="","",IF(MAX(0,-T70)&gt;I70,"Да","Нет"))</x:f>
      </x:c>
      <x:c r="V70" s="366"/>
      <x:c r="W70" s="367"/>
    </x:row>
    <x:row r="71">
      <x:c r="A71" s="341" t="str">
        <x:f>IF(B71="","",ROW()-6)</x:f>
      </x:c>
      <x:c r="B71" s="356"/>
      <x:c r="C71" s="357"/>
      <x:c r="D71" s="357"/>
      <x:c r="E71" s="357"/>
      <x:c r="F71" s="358"/>
      <x:c r="G71" s="358"/>
      <x:c r="H71" s="358"/>
      <x:c r="I71" s="359"/>
      <x:c r="J71" s="340" t="str">
        <x:f>IF(OR(F71="",G71="",H71="",Q71="",R71=""),"",ABS(F71-G71)/Q71*R71*H71+K71+L71)</x:f>
      </x:c>
      <x:c r="K71" s="360"/>
      <x:c r="L71" s="358"/>
      <x:c r="M71" s="358"/>
      <x:c r="N71" s="358"/>
      <x:c r="O71" s="358"/>
      <x:c r="P71" s="359"/>
      <x:c r="Q71" s="361" t="str">
        <x:f>IF(C71="","",'Контракт'!$B$13)</x:f>
      </x:c>
      <x:c r="R71" s="362" t="str">
        <x:f>IF(C71="","",'Контракт'!$B$14)</x:f>
      </x:c>
      <x:c r="S71" s="363" t="str">
        <x:f>IF(OR(D71="",M71="",N71="",H71="",Q71="",R71=""),"",IF(D71="Лонг",1,-1)*(N71-M71)/Q71*R71*H71)</x:f>
      </x:c>
      <x:c r="T71" s="364" t="str">
        <x:f>IF(S71="","",S71-O71-P71)</x:f>
      </x:c>
      <x:c r="U71" s="365" t="str">
        <x:f>IF(T71="","",IF(MAX(0,-T71)&gt;I71,"Да","Нет"))</x:f>
      </x:c>
      <x:c r="V71" s="366"/>
      <x:c r="W71" s="367"/>
    </x:row>
    <x:row r="72">
      <x:c r="A72" s="341" t="str">
        <x:f>IF(B72="","",ROW()-6)</x:f>
      </x:c>
      <x:c r="B72" s="356"/>
      <x:c r="C72" s="357"/>
      <x:c r="D72" s="357"/>
      <x:c r="E72" s="357"/>
      <x:c r="F72" s="358"/>
      <x:c r="G72" s="358"/>
      <x:c r="H72" s="358"/>
      <x:c r="I72" s="359"/>
      <x:c r="J72" s="340" t="str">
        <x:f>IF(OR(F72="",G72="",H72="",Q72="",R72=""),"",ABS(F72-G72)/Q72*R72*H72+K72+L72)</x:f>
      </x:c>
      <x:c r="K72" s="360"/>
      <x:c r="L72" s="358"/>
      <x:c r="M72" s="358"/>
      <x:c r="N72" s="358"/>
      <x:c r="O72" s="358"/>
      <x:c r="P72" s="359"/>
      <x:c r="Q72" s="361" t="str">
        <x:f>IF(C72="","",'Контракт'!$B$13)</x:f>
      </x:c>
      <x:c r="R72" s="362" t="str">
        <x:f>IF(C72="","",'Контракт'!$B$14)</x:f>
      </x:c>
      <x:c r="S72" s="363" t="str">
        <x:f>IF(OR(D72="",M72="",N72="",H72="",Q72="",R72=""),"",IF(D72="Лонг",1,-1)*(N72-M72)/Q72*R72*H72)</x:f>
      </x:c>
      <x:c r="T72" s="364" t="str">
        <x:f>IF(S72="","",S72-O72-P72)</x:f>
      </x:c>
      <x:c r="U72" s="365" t="str">
        <x:f>IF(T72="","",IF(MAX(0,-T72)&gt;I72,"Да","Нет"))</x:f>
      </x:c>
      <x:c r="V72" s="366"/>
      <x:c r="W72" s="367"/>
    </x:row>
    <x:row r="73">
      <x:c r="A73" s="341" t="str">
        <x:f>IF(B73="","",ROW()-6)</x:f>
      </x:c>
      <x:c r="B73" s="356"/>
      <x:c r="C73" s="357"/>
      <x:c r="D73" s="357"/>
      <x:c r="E73" s="357"/>
      <x:c r="F73" s="358"/>
      <x:c r="G73" s="358"/>
      <x:c r="H73" s="358"/>
      <x:c r="I73" s="359"/>
      <x:c r="J73" s="340" t="str">
        <x:f>IF(OR(F73="",G73="",H73="",Q73="",R73=""),"",ABS(F73-G73)/Q73*R73*H73+K73+L73)</x:f>
      </x:c>
      <x:c r="K73" s="360"/>
      <x:c r="L73" s="358"/>
      <x:c r="M73" s="358"/>
      <x:c r="N73" s="358"/>
      <x:c r="O73" s="358"/>
      <x:c r="P73" s="359"/>
      <x:c r="Q73" s="361" t="str">
        <x:f>IF(C73="","",'Контракт'!$B$13)</x:f>
      </x:c>
      <x:c r="R73" s="362" t="str">
        <x:f>IF(C73="","",'Контракт'!$B$14)</x:f>
      </x:c>
      <x:c r="S73" s="363" t="str">
        <x:f>IF(OR(D73="",M73="",N73="",H73="",Q73="",R73=""),"",IF(D73="Лонг",1,-1)*(N73-M73)/Q73*R73*H73)</x:f>
      </x:c>
      <x:c r="T73" s="364" t="str">
        <x:f>IF(S73="","",S73-O73-P73)</x:f>
      </x:c>
      <x:c r="U73" s="365" t="str">
        <x:f>IF(T73="","",IF(MAX(0,-T73)&gt;I73,"Да","Нет"))</x:f>
      </x:c>
      <x:c r="V73" s="366"/>
      <x:c r="W73" s="367"/>
    </x:row>
    <x:row r="74">
      <x:c r="A74" s="341" t="str">
        <x:f>IF(B74="","",ROW()-6)</x:f>
      </x:c>
      <x:c r="B74" s="356"/>
      <x:c r="C74" s="357"/>
      <x:c r="D74" s="357"/>
      <x:c r="E74" s="357"/>
      <x:c r="F74" s="358"/>
      <x:c r="G74" s="358"/>
      <x:c r="H74" s="358"/>
      <x:c r="I74" s="359"/>
      <x:c r="J74" s="340" t="str">
        <x:f>IF(OR(F74="",G74="",H74="",Q74="",R74=""),"",ABS(F74-G74)/Q74*R74*H74+K74+L74)</x:f>
      </x:c>
      <x:c r="K74" s="360"/>
      <x:c r="L74" s="358"/>
      <x:c r="M74" s="358"/>
      <x:c r="N74" s="358"/>
      <x:c r="O74" s="358"/>
      <x:c r="P74" s="359"/>
      <x:c r="Q74" s="361" t="str">
        <x:f>IF(C74="","",'Контракт'!$B$13)</x:f>
      </x:c>
      <x:c r="R74" s="362" t="str">
        <x:f>IF(C74="","",'Контракт'!$B$14)</x:f>
      </x:c>
      <x:c r="S74" s="363" t="str">
        <x:f>IF(OR(D74="",M74="",N74="",H74="",Q74="",R74=""),"",IF(D74="Лонг",1,-1)*(N74-M74)/Q74*R74*H74)</x:f>
      </x:c>
      <x:c r="T74" s="364" t="str">
        <x:f>IF(S74="","",S74-O74-P74)</x:f>
      </x:c>
      <x:c r="U74" s="365" t="str">
        <x:f>IF(T74="","",IF(MAX(0,-T74)&gt;I74,"Да","Нет"))</x:f>
      </x:c>
      <x:c r="V74" s="366"/>
      <x:c r="W74" s="367"/>
    </x:row>
    <x:row r="75">
      <x:c r="A75" s="341" t="str">
        <x:f>IF(B75="","",ROW()-6)</x:f>
      </x:c>
      <x:c r="B75" s="356"/>
      <x:c r="C75" s="357"/>
      <x:c r="D75" s="357"/>
      <x:c r="E75" s="357"/>
      <x:c r="F75" s="358"/>
      <x:c r="G75" s="358"/>
      <x:c r="H75" s="358"/>
      <x:c r="I75" s="359"/>
      <x:c r="J75" s="340" t="str">
        <x:f>IF(OR(F75="",G75="",H75="",Q75="",R75=""),"",ABS(F75-G75)/Q75*R75*H75+K75+L75)</x:f>
      </x:c>
      <x:c r="K75" s="360"/>
      <x:c r="L75" s="358"/>
      <x:c r="M75" s="358"/>
      <x:c r="N75" s="358"/>
      <x:c r="O75" s="358"/>
      <x:c r="P75" s="359"/>
      <x:c r="Q75" s="361" t="str">
        <x:f>IF(C75="","",'Контракт'!$B$13)</x:f>
      </x:c>
      <x:c r="R75" s="362" t="str">
        <x:f>IF(C75="","",'Контракт'!$B$14)</x:f>
      </x:c>
      <x:c r="S75" s="363" t="str">
        <x:f>IF(OR(D75="",M75="",N75="",H75="",Q75="",R75=""),"",IF(D75="Лонг",1,-1)*(N75-M75)/Q75*R75*H75)</x:f>
      </x:c>
      <x:c r="T75" s="364" t="str">
        <x:f>IF(S75="","",S75-O75-P75)</x:f>
      </x:c>
      <x:c r="U75" s="365" t="str">
        <x:f>IF(T75="","",IF(MAX(0,-T75)&gt;I75,"Да","Нет"))</x:f>
      </x:c>
      <x:c r="V75" s="366"/>
      <x:c r="W75" s="367"/>
    </x:row>
    <x:row r="76">
      <x:c r="A76" s="341" t="str">
        <x:f>IF(B76="","",ROW()-6)</x:f>
      </x:c>
      <x:c r="B76" s="356"/>
      <x:c r="C76" s="357"/>
      <x:c r="D76" s="357"/>
      <x:c r="E76" s="357"/>
      <x:c r="F76" s="358"/>
      <x:c r="G76" s="358"/>
      <x:c r="H76" s="358"/>
      <x:c r="I76" s="359"/>
      <x:c r="J76" s="340" t="str">
        <x:f>IF(OR(F76="",G76="",H76="",Q76="",R76=""),"",ABS(F76-G76)/Q76*R76*H76+K76+L76)</x:f>
      </x:c>
      <x:c r="K76" s="360"/>
      <x:c r="L76" s="358"/>
      <x:c r="M76" s="358"/>
      <x:c r="N76" s="358"/>
      <x:c r="O76" s="358"/>
      <x:c r="P76" s="359"/>
      <x:c r="Q76" s="361" t="str">
        <x:f>IF(C76="","",'Контракт'!$B$13)</x:f>
      </x:c>
      <x:c r="R76" s="362" t="str">
        <x:f>IF(C76="","",'Контракт'!$B$14)</x:f>
      </x:c>
      <x:c r="S76" s="363" t="str">
        <x:f>IF(OR(D76="",M76="",N76="",H76="",Q76="",R76=""),"",IF(D76="Лонг",1,-1)*(N76-M76)/Q76*R76*H76)</x:f>
      </x:c>
      <x:c r="T76" s="364" t="str">
        <x:f>IF(S76="","",S76-O76-P76)</x:f>
      </x:c>
      <x:c r="U76" s="365" t="str">
        <x:f>IF(T76="","",IF(MAX(0,-T76)&gt;I76,"Да","Нет"))</x:f>
      </x:c>
      <x:c r="V76" s="366"/>
      <x:c r="W76" s="367"/>
    </x:row>
    <x:row r="77">
      <x:c r="A77" s="341" t="str">
        <x:f>IF(B77="","",ROW()-6)</x:f>
      </x:c>
      <x:c r="B77" s="356"/>
      <x:c r="C77" s="357"/>
      <x:c r="D77" s="357"/>
      <x:c r="E77" s="357"/>
      <x:c r="F77" s="358"/>
      <x:c r="G77" s="358"/>
      <x:c r="H77" s="358"/>
      <x:c r="I77" s="359"/>
      <x:c r="J77" s="340" t="str">
        <x:f>IF(OR(F77="",G77="",H77="",Q77="",R77=""),"",ABS(F77-G77)/Q77*R77*H77+K77+L77)</x:f>
      </x:c>
      <x:c r="K77" s="360"/>
      <x:c r="L77" s="358"/>
      <x:c r="M77" s="358"/>
      <x:c r="N77" s="358"/>
      <x:c r="O77" s="358"/>
      <x:c r="P77" s="359"/>
      <x:c r="Q77" s="361" t="str">
        <x:f>IF(C77="","",'Контракт'!$B$13)</x:f>
      </x:c>
      <x:c r="R77" s="362" t="str">
        <x:f>IF(C77="","",'Контракт'!$B$14)</x:f>
      </x:c>
      <x:c r="S77" s="363" t="str">
        <x:f>IF(OR(D77="",M77="",N77="",H77="",Q77="",R77=""),"",IF(D77="Лонг",1,-1)*(N77-M77)/Q77*R77*H77)</x:f>
      </x:c>
      <x:c r="T77" s="364" t="str">
        <x:f>IF(S77="","",S77-O77-P77)</x:f>
      </x:c>
      <x:c r="U77" s="365" t="str">
        <x:f>IF(T77="","",IF(MAX(0,-T77)&gt;I77,"Да","Нет"))</x:f>
      </x:c>
      <x:c r="V77" s="366"/>
      <x:c r="W77" s="367"/>
    </x:row>
    <x:row r="78">
      <x:c r="A78" s="341" t="str">
        <x:f>IF(B78="","",ROW()-6)</x:f>
      </x:c>
      <x:c r="B78" s="356"/>
      <x:c r="C78" s="357"/>
      <x:c r="D78" s="357"/>
      <x:c r="E78" s="357"/>
      <x:c r="F78" s="358"/>
      <x:c r="G78" s="358"/>
      <x:c r="H78" s="358"/>
      <x:c r="I78" s="359"/>
      <x:c r="J78" s="340" t="str">
        <x:f>IF(OR(F78="",G78="",H78="",Q78="",R78=""),"",ABS(F78-G78)/Q78*R78*H78+K78+L78)</x:f>
      </x:c>
      <x:c r="K78" s="360"/>
      <x:c r="L78" s="358"/>
      <x:c r="M78" s="358"/>
      <x:c r="N78" s="358"/>
      <x:c r="O78" s="358"/>
      <x:c r="P78" s="359"/>
      <x:c r="Q78" s="361" t="str">
        <x:f>IF(C78="","",'Контракт'!$B$13)</x:f>
      </x:c>
      <x:c r="R78" s="362" t="str">
        <x:f>IF(C78="","",'Контракт'!$B$14)</x:f>
      </x:c>
      <x:c r="S78" s="363" t="str">
        <x:f>IF(OR(D78="",M78="",N78="",H78="",Q78="",R78=""),"",IF(D78="Лонг",1,-1)*(N78-M78)/Q78*R78*H78)</x:f>
      </x:c>
      <x:c r="T78" s="364" t="str">
        <x:f>IF(S78="","",S78-O78-P78)</x:f>
      </x:c>
      <x:c r="U78" s="365" t="str">
        <x:f>IF(T78="","",IF(MAX(0,-T78)&gt;I78,"Да","Нет"))</x:f>
      </x:c>
      <x:c r="V78" s="366"/>
      <x:c r="W78" s="367"/>
    </x:row>
    <x:row r="79">
      <x:c r="A79" s="341" t="str">
        <x:f>IF(B79="","",ROW()-6)</x:f>
      </x:c>
      <x:c r="B79" s="356"/>
      <x:c r="C79" s="357"/>
      <x:c r="D79" s="357"/>
      <x:c r="E79" s="357"/>
      <x:c r="F79" s="358"/>
      <x:c r="G79" s="358"/>
      <x:c r="H79" s="358"/>
      <x:c r="I79" s="359"/>
      <x:c r="J79" s="340" t="str">
        <x:f>IF(OR(F79="",G79="",H79="",Q79="",R79=""),"",ABS(F79-G79)/Q79*R79*H79+K79+L79)</x:f>
      </x:c>
      <x:c r="K79" s="360"/>
      <x:c r="L79" s="358"/>
      <x:c r="M79" s="358"/>
      <x:c r="N79" s="358"/>
      <x:c r="O79" s="358"/>
      <x:c r="P79" s="359"/>
      <x:c r="Q79" s="361" t="str">
        <x:f>IF(C79="","",'Контракт'!$B$13)</x:f>
      </x:c>
      <x:c r="R79" s="362" t="str">
        <x:f>IF(C79="","",'Контракт'!$B$14)</x:f>
      </x:c>
      <x:c r="S79" s="363" t="str">
        <x:f>IF(OR(D79="",M79="",N79="",H79="",Q79="",R79=""),"",IF(D79="Лонг",1,-1)*(N79-M79)/Q79*R79*H79)</x:f>
      </x:c>
      <x:c r="T79" s="364" t="str">
        <x:f>IF(S79="","",S79-O79-P79)</x:f>
      </x:c>
      <x:c r="U79" s="365" t="str">
        <x:f>IF(T79="","",IF(MAX(0,-T79)&gt;I79,"Да","Нет"))</x:f>
      </x:c>
      <x:c r="V79" s="366"/>
      <x:c r="W79" s="367"/>
    </x:row>
    <x:row r="80">
      <x:c r="A80" s="341" t="str">
        <x:f>IF(B80="","",ROW()-6)</x:f>
      </x:c>
      <x:c r="B80" s="356"/>
      <x:c r="C80" s="357"/>
      <x:c r="D80" s="357"/>
      <x:c r="E80" s="357"/>
      <x:c r="F80" s="358"/>
      <x:c r="G80" s="358"/>
      <x:c r="H80" s="358"/>
      <x:c r="I80" s="359"/>
      <x:c r="J80" s="340" t="str">
        <x:f>IF(OR(F80="",G80="",H80="",Q80="",R80=""),"",ABS(F80-G80)/Q80*R80*H80+K80+L80)</x:f>
      </x:c>
      <x:c r="K80" s="360"/>
      <x:c r="L80" s="358"/>
      <x:c r="M80" s="358"/>
      <x:c r="N80" s="358"/>
      <x:c r="O80" s="358"/>
      <x:c r="P80" s="359"/>
      <x:c r="Q80" s="361" t="str">
        <x:f>IF(C80="","",'Контракт'!$B$13)</x:f>
      </x:c>
      <x:c r="R80" s="362" t="str">
        <x:f>IF(C80="","",'Контракт'!$B$14)</x:f>
      </x:c>
      <x:c r="S80" s="363" t="str">
        <x:f>IF(OR(D80="",M80="",N80="",H80="",Q80="",R80=""),"",IF(D80="Лонг",1,-1)*(N80-M80)/Q80*R80*H80)</x:f>
      </x:c>
      <x:c r="T80" s="364" t="str">
        <x:f>IF(S80="","",S80-O80-P80)</x:f>
      </x:c>
      <x:c r="U80" s="365" t="str">
        <x:f>IF(T80="","",IF(MAX(0,-T80)&gt;I80,"Да","Нет"))</x:f>
      </x:c>
      <x:c r="V80" s="366"/>
      <x:c r="W80" s="367"/>
    </x:row>
    <x:row r="81">
      <x:c r="A81" s="341" t="str">
        <x:f>IF(B81="","",ROW()-6)</x:f>
      </x:c>
      <x:c r="B81" s="356"/>
      <x:c r="C81" s="357"/>
      <x:c r="D81" s="357"/>
      <x:c r="E81" s="357"/>
      <x:c r="F81" s="358"/>
      <x:c r="G81" s="358"/>
      <x:c r="H81" s="358"/>
      <x:c r="I81" s="359"/>
      <x:c r="J81" s="340" t="str">
        <x:f>IF(OR(F81="",G81="",H81="",Q81="",R81=""),"",ABS(F81-G81)/Q81*R81*H81+K81+L81)</x:f>
      </x:c>
      <x:c r="K81" s="360"/>
      <x:c r="L81" s="358"/>
      <x:c r="M81" s="358"/>
      <x:c r="N81" s="358"/>
      <x:c r="O81" s="358"/>
      <x:c r="P81" s="359"/>
      <x:c r="Q81" s="361" t="str">
        <x:f>IF(C81="","",'Контракт'!$B$13)</x:f>
      </x:c>
      <x:c r="R81" s="362" t="str">
        <x:f>IF(C81="","",'Контракт'!$B$14)</x:f>
      </x:c>
      <x:c r="S81" s="363" t="str">
        <x:f>IF(OR(D81="",M81="",N81="",H81="",Q81="",R81=""),"",IF(D81="Лонг",1,-1)*(N81-M81)/Q81*R81*H81)</x:f>
      </x:c>
      <x:c r="T81" s="364" t="str">
        <x:f>IF(S81="","",S81-O81-P81)</x:f>
      </x:c>
      <x:c r="U81" s="365" t="str">
        <x:f>IF(T81="","",IF(MAX(0,-T81)&gt;I81,"Да","Нет"))</x:f>
      </x:c>
      <x:c r="V81" s="366"/>
      <x:c r="W81" s="367"/>
    </x:row>
    <x:row r="82">
      <x:c r="A82" s="341" t="str">
        <x:f>IF(B82="","",ROW()-6)</x:f>
      </x:c>
      <x:c r="B82" s="356"/>
      <x:c r="C82" s="357"/>
      <x:c r="D82" s="357"/>
      <x:c r="E82" s="357"/>
      <x:c r="F82" s="358"/>
      <x:c r="G82" s="358"/>
      <x:c r="H82" s="358"/>
      <x:c r="I82" s="359"/>
      <x:c r="J82" s="340" t="str">
        <x:f>IF(OR(F82="",G82="",H82="",Q82="",R82=""),"",ABS(F82-G82)/Q82*R82*H82+K82+L82)</x:f>
      </x:c>
      <x:c r="K82" s="360"/>
      <x:c r="L82" s="358"/>
      <x:c r="M82" s="358"/>
      <x:c r="N82" s="358"/>
      <x:c r="O82" s="358"/>
      <x:c r="P82" s="359"/>
      <x:c r="Q82" s="361" t="str">
        <x:f>IF(C82="","",'Контракт'!$B$13)</x:f>
      </x:c>
      <x:c r="R82" s="362" t="str">
        <x:f>IF(C82="","",'Контракт'!$B$14)</x:f>
      </x:c>
      <x:c r="S82" s="363" t="str">
        <x:f>IF(OR(D82="",M82="",N82="",H82="",Q82="",R82=""),"",IF(D82="Лонг",1,-1)*(N82-M82)/Q82*R82*H82)</x:f>
      </x:c>
      <x:c r="T82" s="364" t="str">
        <x:f>IF(S82="","",S82-O82-P82)</x:f>
      </x:c>
      <x:c r="U82" s="365" t="str">
        <x:f>IF(T82="","",IF(MAX(0,-T82)&gt;I82,"Да","Нет"))</x:f>
      </x:c>
      <x:c r="V82" s="366"/>
      <x:c r="W82" s="367"/>
    </x:row>
    <x:row r="83">
      <x:c r="A83" s="341" t="str">
        <x:f>IF(B83="","",ROW()-6)</x:f>
      </x:c>
      <x:c r="B83" s="356"/>
      <x:c r="C83" s="357"/>
      <x:c r="D83" s="357"/>
      <x:c r="E83" s="357"/>
      <x:c r="F83" s="358"/>
      <x:c r="G83" s="358"/>
      <x:c r="H83" s="358"/>
      <x:c r="I83" s="359"/>
      <x:c r="J83" s="340" t="str">
        <x:f>IF(OR(F83="",G83="",H83="",Q83="",R83=""),"",ABS(F83-G83)/Q83*R83*H83+K83+L83)</x:f>
      </x:c>
      <x:c r="K83" s="360"/>
      <x:c r="L83" s="358"/>
      <x:c r="M83" s="358"/>
      <x:c r="N83" s="358"/>
      <x:c r="O83" s="358"/>
      <x:c r="P83" s="359"/>
      <x:c r="Q83" s="361" t="str">
        <x:f>IF(C83="","",'Контракт'!$B$13)</x:f>
      </x:c>
      <x:c r="R83" s="362" t="str">
        <x:f>IF(C83="","",'Контракт'!$B$14)</x:f>
      </x:c>
      <x:c r="S83" s="363" t="str">
        <x:f>IF(OR(D83="",M83="",N83="",H83="",Q83="",R83=""),"",IF(D83="Лонг",1,-1)*(N83-M83)/Q83*R83*H83)</x:f>
      </x:c>
      <x:c r="T83" s="364" t="str">
        <x:f>IF(S83="","",S83-O83-P83)</x:f>
      </x:c>
      <x:c r="U83" s="365" t="str">
        <x:f>IF(T83="","",IF(MAX(0,-T83)&gt;I83,"Да","Нет"))</x:f>
      </x:c>
      <x:c r="V83" s="366"/>
      <x:c r="W83" s="367"/>
    </x:row>
    <x:row r="84">
      <x:c r="A84" s="341" t="str">
        <x:f>IF(B84="","",ROW()-6)</x:f>
      </x:c>
      <x:c r="B84" s="356"/>
      <x:c r="C84" s="357"/>
      <x:c r="D84" s="357"/>
      <x:c r="E84" s="357"/>
      <x:c r="F84" s="358"/>
      <x:c r="G84" s="358"/>
      <x:c r="H84" s="358"/>
      <x:c r="I84" s="359"/>
      <x:c r="J84" s="340" t="str">
        <x:f>IF(OR(F84="",G84="",H84="",Q84="",R84=""),"",ABS(F84-G84)/Q84*R84*H84+K84+L84)</x:f>
      </x:c>
      <x:c r="K84" s="360"/>
      <x:c r="L84" s="358"/>
      <x:c r="M84" s="358"/>
      <x:c r="N84" s="358"/>
      <x:c r="O84" s="358"/>
      <x:c r="P84" s="359"/>
      <x:c r="Q84" s="361" t="str">
        <x:f>IF(C84="","",'Контракт'!$B$13)</x:f>
      </x:c>
      <x:c r="R84" s="362" t="str">
        <x:f>IF(C84="","",'Контракт'!$B$14)</x:f>
      </x:c>
      <x:c r="S84" s="363" t="str">
        <x:f>IF(OR(D84="",M84="",N84="",H84="",Q84="",R84=""),"",IF(D84="Лонг",1,-1)*(N84-M84)/Q84*R84*H84)</x:f>
      </x:c>
      <x:c r="T84" s="364" t="str">
        <x:f>IF(S84="","",S84-O84-P84)</x:f>
      </x:c>
      <x:c r="U84" s="365" t="str">
        <x:f>IF(T84="","",IF(MAX(0,-T84)&gt;I84,"Да","Нет"))</x:f>
      </x:c>
      <x:c r="V84" s="366"/>
      <x:c r="W84" s="367"/>
    </x:row>
    <x:row r="85">
      <x:c r="A85" s="341" t="str">
        <x:f>IF(B85="","",ROW()-6)</x:f>
      </x:c>
      <x:c r="B85" s="356"/>
      <x:c r="C85" s="357"/>
      <x:c r="D85" s="357"/>
      <x:c r="E85" s="357"/>
      <x:c r="F85" s="358"/>
      <x:c r="G85" s="358"/>
      <x:c r="H85" s="358"/>
      <x:c r="I85" s="359"/>
      <x:c r="J85" s="340" t="str">
        <x:f>IF(OR(F85="",G85="",H85="",Q85="",R85=""),"",ABS(F85-G85)/Q85*R85*H85+K85+L85)</x:f>
      </x:c>
      <x:c r="K85" s="360"/>
      <x:c r="L85" s="358"/>
      <x:c r="M85" s="358"/>
      <x:c r="N85" s="358"/>
      <x:c r="O85" s="358"/>
      <x:c r="P85" s="359"/>
      <x:c r="Q85" s="361" t="str">
        <x:f>IF(C85="","",'Контракт'!$B$13)</x:f>
      </x:c>
      <x:c r="R85" s="362" t="str">
        <x:f>IF(C85="","",'Контракт'!$B$14)</x:f>
      </x:c>
      <x:c r="S85" s="363" t="str">
        <x:f>IF(OR(D85="",M85="",N85="",H85="",Q85="",R85=""),"",IF(D85="Лонг",1,-1)*(N85-M85)/Q85*R85*H85)</x:f>
      </x:c>
      <x:c r="T85" s="364" t="str">
        <x:f>IF(S85="","",S85-O85-P85)</x:f>
      </x:c>
      <x:c r="U85" s="365" t="str">
        <x:f>IF(T85="","",IF(MAX(0,-T85)&gt;I85,"Да","Нет"))</x:f>
      </x:c>
      <x:c r="V85" s="366"/>
      <x:c r="W85" s="367"/>
    </x:row>
    <x:row r="86">
      <x:c r="A86" s="341" t="str">
        <x:f>IF(B86="","",ROW()-6)</x:f>
      </x:c>
      <x:c r="B86" s="356"/>
      <x:c r="C86" s="357"/>
      <x:c r="D86" s="357"/>
      <x:c r="E86" s="357"/>
      <x:c r="F86" s="358"/>
      <x:c r="G86" s="358"/>
      <x:c r="H86" s="358"/>
      <x:c r="I86" s="359"/>
      <x:c r="J86" s="340" t="str">
        <x:f>IF(OR(F86="",G86="",H86="",Q86="",R86=""),"",ABS(F86-G86)/Q86*R86*H86+K86+L86)</x:f>
      </x:c>
      <x:c r="K86" s="360"/>
      <x:c r="L86" s="358"/>
      <x:c r="M86" s="358"/>
      <x:c r="N86" s="358"/>
      <x:c r="O86" s="358"/>
      <x:c r="P86" s="359"/>
      <x:c r="Q86" s="361" t="str">
        <x:f>IF(C86="","",'Контракт'!$B$13)</x:f>
      </x:c>
      <x:c r="R86" s="362" t="str">
        <x:f>IF(C86="","",'Контракт'!$B$14)</x:f>
      </x:c>
      <x:c r="S86" s="363" t="str">
        <x:f>IF(OR(D86="",M86="",N86="",H86="",Q86="",R86=""),"",IF(D86="Лонг",1,-1)*(N86-M86)/Q86*R86*H86)</x:f>
      </x:c>
      <x:c r="T86" s="364" t="str">
        <x:f>IF(S86="","",S86-O86-P86)</x:f>
      </x:c>
      <x:c r="U86" s="365" t="str">
        <x:f>IF(T86="","",IF(MAX(0,-T86)&gt;I86,"Да","Нет"))</x:f>
      </x:c>
      <x:c r="V86" s="366"/>
      <x:c r="W86" s="367"/>
    </x:row>
    <x:row r="87">
      <x:c r="A87" s="341" t="str">
        <x:f>IF(B87="","",ROW()-6)</x:f>
      </x:c>
      <x:c r="B87" s="356"/>
      <x:c r="C87" s="357"/>
      <x:c r="D87" s="357"/>
      <x:c r="E87" s="357"/>
      <x:c r="F87" s="358"/>
      <x:c r="G87" s="358"/>
      <x:c r="H87" s="358"/>
      <x:c r="I87" s="359"/>
      <x:c r="J87" s="340" t="str">
        <x:f>IF(OR(F87="",G87="",H87="",Q87="",R87=""),"",ABS(F87-G87)/Q87*R87*H87+K87+L87)</x:f>
      </x:c>
      <x:c r="K87" s="360"/>
      <x:c r="L87" s="358"/>
      <x:c r="M87" s="358"/>
      <x:c r="N87" s="358"/>
      <x:c r="O87" s="358"/>
      <x:c r="P87" s="359"/>
      <x:c r="Q87" s="361" t="str">
        <x:f>IF(C87="","",'Контракт'!$B$13)</x:f>
      </x:c>
      <x:c r="R87" s="362" t="str">
        <x:f>IF(C87="","",'Контракт'!$B$14)</x:f>
      </x:c>
      <x:c r="S87" s="363" t="str">
        <x:f>IF(OR(D87="",M87="",N87="",H87="",Q87="",R87=""),"",IF(D87="Лонг",1,-1)*(N87-M87)/Q87*R87*H87)</x:f>
      </x:c>
      <x:c r="T87" s="364" t="str">
        <x:f>IF(S87="","",S87-O87-P87)</x:f>
      </x:c>
      <x:c r="U87" s="365" t="str">
        <x:f>IF(T87="","",IF(MAX(0,-T87)&gt;I87,"Да","Нет"))</x:f>
      </x:c>
      <x:c r="V87" s="366"/>
      <x:c r="W87" s="367"/>
    </x:row>
    <x:row r="88">
      <x:c r="A88" s="341" t="str">
        <x:f>IF(B88="","",ROW()-6)</x:f>
      </x:c>
      <x:c r="B88" s="356"/>
      <x:c r="C88" s="357"/>
      <x:c r="D88" s="357"/>
      <x:c r="E88" s="357"/>
      <x:c r="F88" s="358"/>
      <x:c r="G88" s="358"/>
      <x:c r="H88" s="358"/>
      <x:c r="I88" s="359"/>
      <x:c r="J88" s="340" t="str">
        <x:f>IF(OR(F88="",G88="",H88="",Q88="",R88=""),"",ABS(F88-G88)/Q88*R88*H88+K88+L88)</x:f>
      </x:c>
      <x:c r="K88" s="360"/>
      <x:c r="L88" s="358"/>
      <x:c r="M88" s="358"/>
      <x:c r="N88" s="358"/>
      <x:c r="O88" s="358"/>
      <x:c r="P88" s="359"/>
      <x:c r="Q88" s="361" t="str">
        <x:f>IF(C88="","",'Контракт'!$B$13)</x:f>
      </x:c>
      <x:c r="R88" s="362" t="str">
        <x:f>IF(C88="","",'Контракт'!$B$14)</x:f>
      </x:c>
      <x:c r="S88" s="363" t="str">
        <x:f>IF(OR(D88="",M88="",N88="",H88="",Q88="",R88=""),"",IF(D88="Лонг",1,-1)*(N88-M88)/Q88*R88*H88)</x:f>
      </x:c>
      <x:c r="T88" s="364" t="str">
        <x:f>IF(S88="","",S88-O88-P88)</x:f>
      </x:c>
      <x:c r="U88" s="365" t="str">
        <x:f>IF(T88="","",IF(MAX(0,-T88)&gt;I88,"Да","Нет"))</x:f>
      </x:c>
      <x:c r="V88" s="366"/>
      <x:c r="W88" s="367"/>
    </x:row>
    <x:row r="89">
      <x:c r="A89" s="341" t="str">
        <x:f>IF(B89="","",ROW()-6)</x:f>
      </x:c>
      <x:c r="B89" s="356"/>
      <x:c r="C89" s="357"/>
      <x:c r="D89" s="357"/>
      <x:c r="E89" s="357"/>
      <x:c r="F89" s="358"/>
      <x:c r="G89" s="358"/>
      <x:c r="H89" s="358"/>
      <x:c r="I89" s="359"/>
      <x:c r="J89" s="340" t="str">
        <x:f>IF(OR(F89="",G89="",H89="",Q89="",R89=""),"",ABS(F89-G89)/Q89*R89*H89+K89+L89)</x:f>
      </x:c>
      <x:c r="K89" s="360"/>
      <x:c r="L89" s="358"/>
      <x:c r="M89" s="358"/>
      <x:c r="N89" s="358"/>
      <x:c r="O89" s="358"/>
      <x:c r="P89" s="359"/>
      <x:c r="Q89" s="361" t="str">
        <x:f>IF(C89="","",'Контракт'!$B$13)</x:f>
      </x:c>
      <x:c r="R89" s="362" t="str">
        <x:f>IF(C89="","",'Контракт'!$B$14)</x:f>
      </x:c>
      <x:c r="S89" s="363" t="str">
        <x:f>IF(OR(D89="",M89="",N89="",H89="",Q89="",R89=""),"",IF(D89="Лонг",1,-1)*(N89-M89)/Q89*R89*H89)</x:f>
      </x:c>
      <x:c r="T89" s="364" t="str">
        <x:f>IF(S89="","",S89-O89-P89)</x:f>
      </x:c>
      <x:c r="U89" s="365" t="str">
        <x:f>IF(T89="","",IF(MAX(0,-T89)&gt;I89,"Да","Нет"))</x:f>
      </x:c>
      <x:c r="V89" s="366"/>
      <x:c r="W89" s="367"/>
    </x:row>
    <x:row r="90">
      <x:c r="A90" s="341" t="str">
        <x:f>IF(B90="","",ROW()-6)</x:f>
      </x:c>
      <x:c r="B90" s="356"/>
      <x:c r="C90" s="357"/>
      <x:c r="D90" s="357"/>
      <x:c r="E90" s="357"/>
      <x:c r="F90" s="358"/>
      <x:c r="G90" s="358"/>
      <x:c r="H90" s="358"/>
      <x:c r="I90" s="359"/>
      <x:c r="J90" s="340" t="str">
        <x:f>IF(OR(F90="",G90="",H90="",Q90="",R90=""),"",ABS(F90-G90)/Q90*R90*H90+K90+L90)</x:f>
      </x:c>
      <x:c r="K90" s="360"/>
      <x:c r="L90" s="358"/>
      <x:c r="M90" s="358"/>
      <x:c r="N90" s="358"/>
      <x:c r="O90" s="358"/>
      <x:c r="P90" s="359"/>
      <x:c r="Q90" s="361" t="str">
        <x:f>IF(C90="","",'Контракт'!$B$13)</x:f>
      </x:c>
      <x:c r="R90" s="362" t="str">
        <x:f>IF(C90="","",'Контракт'!$B$14)</x:f>
      </x:c>
      <x:c r="S90" s="363" t="str">
        <x:f>IF(OR(D90="",M90="",N90="",H90="",Q90="",R90=""),"",IF(D90="Лонг",1,-1)*(N90-M90)/Q90*R90*H90)</x:f>
      </x:c>
      <x:c r="T90" s="364" t="str">
        <x:f>IF(S90="","",S90-O90-P90)</x:f>
      </x:c>
      <x:c r="U90" s="365" t="str">
        <x:f>IF(T90="","",IF(MAX(0,-T90)&gt;I90,"Да","Нет"))</x:f>
      </x:c>
      <x:c r="V90" s="366"/>
      <x:c r="W90" s="367"/>
    </x:row>
    <x:row r="91">
      <x:c r="A91" s="341" t="str">
        <x:f>IF(B91="","",ROW()-6)</x:f>
      </x:c>
      <x:c r="B91" s="356"/>
      <x:c r="C91" s="357"/>
      <x:c r="D91" s="357"/>
      <x:c r="E91" s="357"/>
      <x:c r="F91" s="358"/>
      <x:c r="G91" s="358"/>
      <x:c r="H91" s="358"/>
      <x:c r="I91" s="359"/>
      <x:c r="J91" s="340" t="str">
        <x:f>IF(OR(F91="",G91="",H91="",Q91="",R91=""),"",ABS(F91-G91)/Q91*R91*H91+K91+L91)</x:f>
      </x:c>
      <x:c r="K91" s="360"/>
      <x:c r="L91" s="358"/>
      <x:c r="M91" s="358"/>
      <x:c r="N91" s="358"/>
      <x:c r="O91" s="358"/>
      <x:c r="P91" s="359"/>
      <x:c r="Q91" s="361" t="str">
        <x:f>IF(C91="","",'Контракт'!$B$13)</x:f>
      </x:c>
      <x:c r="R91" s="362" t="str">
        <x:f>IF(C91="","",'Контракт'!$B$14)</x:f>
      </x:c>
      <x:c r="S91" s="363" t="str">
        <x:f>IF(OR(D91="",M91="",N91="",H91="",Q91="",R91=""),"",IF(D91="Лонг",1,-1)*(N91-M91)/Q91*R91*H91)</x:f>
      </x:c>
      <x:c r="T91" s="364" t="str">
        <x:f>IF(S91="","",S91-O91-P91)</x:f>
      </x:c>
      <x:c r="U91" s="365" t="str">
        <x:f>IF(T91="","",IF(MAX(0,-T91)&gt;I91,"Да","Нет"))</x:f>
      </x:c>
      <x:c r="V91" s="366"/>
      <x:c r="W91" s="367"/>
    </x:row>
    <x:row r="92">
      <x:c r="A92" s="341" t="str">
        <x:f>IF(B92="","",ROW()-6)</x:f>
      </x:c>
      <x:c r="B92" s="356"/>
      <x:c r="C92" s="357"/>
      <x:c r="D92" s="357"/>
      <x:c r="E92" s="357"/>
      <x:c r="F92" s="358"/>
      <x:c r="G92" s="358"/>
      <x:c r="H92" s="358"/>
      <x:c r="I92" s="359"/>
      <x:c r="J92" s="340" t="str">
        <x:f>IF(OR(F92="",G92="",H92="",Q92="",R92=""),"",ABS(F92-G92)/Q92*R92*H92+K92+L92)</x:f>
      </x:c>
      <x:c r="K92" s="360"/>
      <x:c r="L92" s="358"/>
      <x:c r="M92" s="358"/>
      <x:c r="N92" s="358"/>
      <x:c r="O92" s="358"/>
      <x:c r="P92" s="359"/>
      <x:c r="Q92" s="361" t="str">
        <x:f>IF(C92="","",'Контракт'!$B$13)</x:f>
      </x:c>
      <x:c r="R92" s="362" t="str">
        <x:f>IF(C92="","",'Контракт'!$B$14)</x:f>
      </x:c>
      <x:c r="S92" s="363" t="str">
        <x:f>IF(OR(D92="",M92="",N92="",H92="",Q92="",R92=""),"",IF(D92="Лонг",1,-1)*(N92-M92)/Q92*R92*H92)</x:f>
      </x:c>
      <x:c r="T92" s="364" t="str">
        <x:f>IF(S92="","",S92-O92-P92)</x:f>
      </x:c>
      <x:c r="U92" s="365" t="str">
        <x:f>IF(T92="","",IF(MAX(0,-T92)&gt;I92,"Да","Нет"))</x:f>
      </x:c>
      <x:c r="V92" s="366"/>
      <x:c r="W92" s="367"/>
    </x:row>
    <x:row r="93">
      <x:c r="A93" s="341" t="str">
        <x:f>IF(B93="","",ROW()-6)</x:f>
      </x:c>
      <x:c r="B93" s="356"/>
      <x:c r="C93" s="357"/>
      <x:c r="D93" s="357"/>
      <x:c r="E93" s="357"/>
      <x:c r="F93" s="358"/>
      <x:c r="G93" s="358"/>
      <x:c r="H93" s="358"/>
      <x:c r="I93" s="359"/>
      <x:c r="J93" s="340" t="str">
        <x:f>IF(OR(F93="",G93="",H93="",Q93="",R93=""),"",ABS(F93-G93)/Q93*R93*H93+K93+L93)</x:f>
      </x:c>
      <x:c r="K93" s="360"/>
      <x:c r="L93" s="358"/>
      <x:c r="M93" s="358"/>
      <x:c r="N93" s="358"/>
      <x:c r="O93" s="358"/>
      <x:c r="P93" s="359"/>
      <x:c r="Q93" s="361" t="str">
        <x:f>IF(C93="","",'Контракт'!$B$13)</x:f>
      </x:c>
      <x:c r="R93" s="362" t="str">
        <x:f>IF(C93="","",'Контракт'!$B$14)</x:f>
      </x:c>
      <x:c r="S93" s="363" t="str">
        <x:f>IF(OR(D93="",M93="",N93="",H93="",Q93="",R93=""),"",IF(D93="Лонг",1,-1)*(N93-M93)/Q93*R93*H93)</x:f>
      </x:c>
      <x:c r="T93" s="364" t="str">
        <x:f>IF(S93="","",S93-O93-P93)</x:f>
      </x:c>
      <x:c r="U93" s="365" t="str">
        <x:f>IF(T93="","",IF(MAX(0,-T93)&gt;I93,"Да","Нет"))</x:f>
      </x:c>
      <x:c r="V93" s="366"/>
      <x:c r="W93" s="367"/>
    </x:row>
    <x:row r="94">
      <x:c r="A94" s="341" t="str">
        <x:f>IF(B94="","",ROW()-6)</x:f>
      </x:c>
      <x:c r="B94" s="356"/>
      <x:c r="C94" s="357"/>
      <x:c r="D94" s="357"/>
      <x:c r="E94" s="357"/>
      <x:c r="F94" s="358"/>
      <x:c r="G94" s="358"/>
      <x:c r="H94" s="358"/>
      <x:c r="I94" s="359"/>
      <x:c r="J94" s="340" t="str">
        <x:f>IF(OR(F94="",G94="",H94="",Q94="",R94=""),"",ABS(F94-G94)/Q94*R94*H94+K94+L94)</x:f>
      </x:c>
      <x:c r="K94" s="360"/>
      <x:c r="L94" s="358"/>
      <x:c r="M94" s="358"/>
      <x:c r="N94" s="358"/>
      <x:c r="O94" s="358"/>
      <x:c r="P94" s="359"/>
      <x:c r="Q94" s="361" t="str">
        <x:f>IF(C94="","",'Контракт'!$B$13)</x:f>
      </x:c>
      <x:c r="R94" s="362" t="str">
        <x:f>IF(C94="","",'Контракт'!$B$14)</x:f>
      </x:c>
      <x:c r="S94" s="363" t="str">
        <x:f>IF(OR(D94="",M94="",N94="",H94="",Q94="",R94=""),"",IF(D94="Лонг",1,-1)*(N94-M94)/Q94*R94*H94)</x:f>
      </x:c>
      <x:c r="T94" s="364" t="str">
        <x:f>IF(S94="","",S94-O94-P94)</x:f>
      </x:c>
      <x:c r="U94" s="365" t="str">
        <x:f>IF(T94="","",IF(MAX(0,-T94)&gt;I94,"Да","Нет"))</x:f>
      </x:c>
      <x:c r="V94" s="366"/>
      <x:c r="W94" s="367"/>
    </x:row>
    <x:row r="95">
      <x:c r="A95" s="341" t="str">
        <x:f>IF(B95="","",ROW()-6)</x:f>
      </x:c>
      <x:c r="B95" s="356"/>
      <x:c r="C95" s="357"/>
      <x:c r="D95" s="357"/>
      <x:c r="E95" s="357"/>
      <x:c r="F95" s="358"/>
      <x:c r="G95" s="358"/>
      <x:c r="H95" s="358"/>
      <x:c r="I95" s="359"/>
      <x:c r="J95" s="340" t="str">
        <x:f>IF(OR(F95="",G95="",H95="",Q95="",R95=""),"",ABS(F95-G95)/Q95*R95*H95+K95+L95)</x:f>
      </x:c>
      <x:c r="K95" s="360"/>
      <x:c r="L95" s="358"/>
      <x:c r="M95" s="358"/>
      <x:c r="N95" s="358"/>
      <x:c r="O95" s="358"/>
      <x:c r="P95" s="359"/>
      <x:c r="Q95" s="361" t="str">
        <x:f>IF(C95="","",'Контракт'!$B$13)</x:f>
      </x:c>
      <x:c r="R95" s="362" t="str">
        <x:f>IF(C95="","",'Контракт'!$B$14)</x:f>
      </x:c>
      <x:c r="S95" s="363" t="str">
        <x:f>IF(OR(D95="",M95="",N95="",H95="",Q95="",R95=""),"",IF(D95="Лонг",1,-1)*(N95-M95)/Q95*R95*H95)</x:f>
      </x:c>
      <x:c r="T95" s="364" t="str">
        <x:f>IF(S95="","",S95-O95-P95)</x:f>
      </x:c>
      <x:c r="U95" s="365" t="str">
        <x:f>IF(T95="","",IF(MAX(0,-T95)&gt;I95,"Да","Нет"))</x:f>
      </x:c>
      <x:c r="V95" s="366"/>
      <x:c r="W95" s="367"/>
    </x:row>
    <x:row r="96">
      <x:c r="A96" s="341" t="str">
        <x:f>IF(B96="","",ROW()-6)</x:f>
      </x:c>
      <x:c r="B96" s="356"/>
      <x:c r="C96" s="357"/>
      <x:c r="D96" s="357"/>
      <x:c r="E96" s="357"/>
      <x:c r="F96" s="358"/>
      <x:c r="G96" s="358"/>
      <x:c r="H96" s="358"/>
      <x:c r="I96" s="359"/>
      <x:c r="J96" s="340" t="str">
        <x:f>IF(OR(F96="",G96="",H96="",Q96="",R96=""),"",ABS(F96-G96)/Q96*R96*H96+K96+L96)</x:f>
      </x:c>
      <x:c r="K96" s="360"/>
      <x:c r="L96" s="358"/>
      <x:c r="M96" s="358"/>
      <x:c r="N96" s="358"/>
      <x:c r="O96" s="358"/>
      <x:c r="P96" s="359"/>
      <x:c r="Q96" s="361" t="str">
        <x:f>IF(C96="","",'Контракт'!$B$13)</x:f>
      </x:c>
      <x:c r="R96" s="362" t="str">
        <x:f>IF(C96="","",'Контракт'!$B$14)</x:f>
      </x:c>
      <x:c r="S96" s="363" t="str">
        <x:f>IF(OR(D96="",M96="",N96="",H96="",Q96="",R96=""),"",IF(D96="Лонг",1,-1)*(N96-M96)/Q96*R96*H96)</x:f>
      </x:c>
      <x:c r="T96" s="364" t="str">
        <x:f>IF(S96="","",S96-O96-P96)</x:f>
      </x:c>
      <x:c r="U96" s="365" t="str">
        <x:f>IF(T96="","",IF(MAX(0,-T96)&gt;I96,"Да","Нет"))</x:f>
      </x:c>
      <x:c r="V96" s="366"/>
      <x:c r="W96" s="367"/>
    </x:row>
    <x:row r="97">
      <x:c r="A97" s="341" t="str">
        <x:f>IF(B97="","",ROW()-6)</x:f>
      </x:c>
      <x:c r="B97" s="356"/>
      <x:c r="C97" s="357"/>
      <x:c r="D97" s="357"/>
      <x:c r="E97" s="357"/>
      <x:c r="F97" s="358"/>
      <x:c r="G97" s="358"/>
      <x:c r="H97" s="358"/>
      <x:c r="I97" s="359"/>
      <x:c r="J97" s="340" t="str">
        <x:f>IF(OR(F97="",G97="",H97="",Q97="",R97=""),"",ABS(F97-G97)/Q97*R97*H97+K97+L97)</x:f>
      </x:c>
      <x:c r="K97" s="360"/>
      <x:c r="L97" s="358"/>
      <x:c r="M97" s="358"/>
      <x:c r="N97" s="358"/>
      <x:c r="O97" s="358"/>
      <x:c r="P97" s="359"/>
      <x:c r="Q97" s="361" t="str">
        <x:f>IF(C97="","",'Контракт'!$B$13)</x:f>
      </x:c>
      <x:c r="R97" s="362" t="str">
        <x:f>IF(C97="","",'Контракт'!$B$14)</x:f>
      </x:c>
      <x:c r="S97" s="363" t="str">
        <x:f>IF(OR(D97="",M97="",N97="",H97="",Q97="",R97=""),"",IF(D97="Лонг",1,-1)*(N97-M97)/Q97*R97*H97)</x:f>
      </x:c>
      <x:c r="T97" s="364" t="str">
        <x:f>IF(S97="","",S97-O97-P97)</x:f>
      </x:c>
      <x:c r="U97" s="365" t="str">
        <x:f>IF(T97="","",IF(MAX(0,-T97)&gt;I97,"Да","Нет"))</x:f>
      </x:c>
      <x:c r="V97" s="366"/>
      <x:c r="W97" s="367"/>
    </x:row>
    <x:row r="98">
      <x:c r="A98" s="341" t="str">
        <x:f>IF(B98="","",ROW()-6)</x:f>
      </x:c>
      <x:c r="B98" s="356"/>
      <x:c r="C98" s="357"/>
      <x:c r="D98" s="357"/>
      <x:c r="E98" s="357"/>
      <x:c r="F98" s="358"/>
      <x:c r="G98" s="358"/>
      <x:c r="H98" s="358"/>
      <x:c r="I98" s="359"/>
      <x:c r="J98" s="340" t="str">
        <x:f>IF(OR(F98="",G98="",H98="",Q98="",R98=""),"",ABS(F98-G98)/Q98*R98*H98+K98+L98)</x:f>
      </x:c>
      <x:c r="K98" s="360"/>
      <x:c r="L98" s="358"/>
      <x:c r="M98" s="358"/>
      <x:c r="N98" s="358"/>
      <x:c r="O98" s="358"/>
      <x:c r="P98" s="359"/>
      <x:c r="Q98" s="361" t="str">
        <x:f>IF(C98="","",'Контракт'!$B$13)</x:f>
      </x:c>
      <x:c r="R98" s="362" t="str">
        <x:f>IF(C98="","",'Контракт'!$B$14)</x:f>
      </x:c>
      <x:c r="S98" s="363" t="str">
        <x:f>IF(OR(D98="",M98="",N98="",H98="",Q98="",R98=""),"",IF(D98="Лонг",1,-1)*(N98-M98)/Q98*R98*H98)</x:f>
      </x:c>
      <x:c r="T98" s="364" t="str">
        <x:f>IF(S98="","",S98-O98-P98)</x:f>
      </x:c>
      <x:c r="U98" s="365" t="str">
        <x:f>IF(T98="","",IF(MAX(0,-T98)&gt;I98,"Да","Нет"))</x:f>
      </x:c>
      <x:c r="V98" s="366"/>
      <x:c r="W98" s="367"/>
    </x:row>
    <x:row r="99">
      <x:c r="A99" s="341" t="str">
        <x:f>IF(B99="","",ROW()-6)</x:f>
      </x:c>
      <x:c r="B99" s="356"/>
      <x:c r="C99" s="357"/>
      <x:c r="D99" s="357"/>
      <x:c r="E99" s="357"/>
      <x:c r="F99" s="358"/>
      <x:c r="G99" s="358"/>
      <x:c r="H99" s="358"/>
      <x:c r="I99" s="359"/>
      <x:c r="J99" s="340" t="str">
        <x:f>IF(OR(F99="",G99="",H99="",Q99="",R99=""),"",ABS(F99-G99)/Q99*R99*H99+K99+L99)</x:f>
      </x:c>
      <x:c r="K99" s="360"/>
      <x:c r="L99" s="358"/>
      <x:c r="M99" s="358"/>
      <x:c r="N99" s="358"/>
      <x:c r="O99" s="358"/>
      <x:c r="P99" s="359"/>
      <x:c r="Q99" s="361" t="str">
        <x:f>IF(C99="","",'Контракт'!$B$13)</x:f>
      </x:c>
      <x:c r="R99" s="362" t="str">
        <x:f>IF(C99="","",'Контракт'!$B$14)</x:f>
      </x:c>
      <x:c r="S99" s="363" t="str">
        <x:f>IF(OR(D99="",M99="",N99="",H99="",Q99="",R99=""),"",IF(D99="Лонг",1,-1)*(N99-M99)/Q99*R99*H99)</x:f>
      </x:c>
      <x:c r="T99" s="364" t="str">
        <x:f>IF(S99="","",S99-O99-P99)</x:f>
      </x:c>
      <x:c r="U99" s="365" t="str">
        <x:f>IF(T99="","",IF(MAX(0,-T99)&gt;I99,"Да","Нет"))</x:f>
      </x:c>
      <x:c r="V99" s="366"/>
      <x:c r="W99" s="367"/>
    </x:row>
    <x:row r="100">
      <x:c r="A100" s="341" t="str">
        <x:f>IF(B100="","",ROW()-6)</x:f>
      </x:c>
      <x:c r="B100" s="356"/>
      <x:c r="C100" s="357"/>
      <x:c r="D100" s="357"/>
      <x:c r="E100" s="357"/>
      <x:c r="F100" s="358"/>
      <x:c r="G100" s="358"/>
      <x:c r="H100" s="358"/>
      <x:c r="I100" s="359"/>
      <x:c r="J100" s="340" t="str">
        <x:f>IF(OR(F100="",G100="",H100="",Q100="",R100=""),"",ABS(F100-G100)/Q100*R100*H100+K100+L100)</x:f>
      </x:c>
      <x:c r="K100" s="360"/>
      <x:c r="L100" s="358"/>
      <x:c r="M100" s="358"/>
      <x:c r="N100" s="358"/>
      <x:c r="O100" s="358"/>
      <x:c r="P100" s="359"/>
      <x:c r="Q100" s="361" t="str">
        <x:f>IF(C100="","",'Контракт'!$B$13)</x:f>
      </x:c>
      <x:c r="R100" s="362" t="str">
        <x:f>IF(C100="","",'Контракт'!$B$14)</x:f>
      </x:c>
      <x:c r="S100" s="363" t="str">
        <x:f>IF(OR(D100="",M100="",N100="",H100="",Q100="",R100=""),"",IF(D100="Лонг",1,-1)*(N100-M100)/Q100*R100*H100)</x:f>
      </x:c>
      <x:c r="T100" s="364" t="str">
        <x:f>IF(S100="","",S100-O100-P100)</x:f>
      </x:c>
      <x:c r="U100" s="365" t="str">
        <x:f>IF(T100="","",IF(MAX(0,-T100)&gt;I100,"Да","Нет"))</x:f>
      </x:c>
      <x:c r="V100" s="366"/>
      <x:c r="W100" s="367"/>
    </x:row>
    <x:row r="101">
      <x:c r="A101" s="341" t="str">
        <x:f>IF(B101="","",ROW()-6)</x:f>
      </x:c>
      <x:c r="B101" s="356"/>
      <x:c r="C101" s="357"/>
      <x:c r="D101" s="357"/>
      <x:c r="E101" s="357"/>
      <x:c r="F101" s="358"/>
      <x:c r="G101" s="358"/>
      <x:c r="H101" s="358"/>
      <x:c r="I101" s="359"/>
      <x:c r="J101" s="340" t="str">
        <x:f>IF(OR(F101="",G101="",H101="",Q101="",R101=""),"",ABS(F101-G101)/Q101*R101*H101+K101+L101)</x:f>
      </x:c>
      <x:c r="K101" s="360"/>
      <x:c r="L101" s="358"/>
      <x:c r="M101" s="358"/>
      <x:c r="N101" s="358"/>
      <x:c r="O101" s="358"/>
      <x:c r="P101" s="359"/>
      <x:c r="Q101" s="361" t="str">
        <x:f>IF(C101="","",'Контракт'!$B$13)</x:f>
      </x:c>
      <x:c r="R101" s="362" t="str">
        <x:f>IF(C101="","",'Контракт'!$B$14)</x:f>
      </x:c>
      <x:c r="S101" s="363" t="str">
        <x:f>IF(OR(D101="",M101="",N101="",H101="",Q101="",R101=""),"",IF(D101="Лонг",1,-1)*(N101-M101)/Q101*R101*H101)</x:f>
      </x:c>
      <x:c r="T101" s="364" t="str">
        <x:f>IF(S101="","",S101-O101-P101)</x:f>
      </x:c>
      <x:c r="U101" s="365" t="str">
        <x:f>IF(T101="","",IF(MAX(0,-T101)&gt;I101,"Да","Нет"))</x:f>
      </x:c>
      <x:c r="V101" s="366"/>
      <x:c r="W101" s="367"/>
    </x:row>
    <x:row r="102">
      <x:c r="A102" s="341" t="str">
        <x:f>IF(B102="","",ROW()-6)</x:f>
      </x:c>
      <x:c r="B102" s="356"/>
      <x:c r="C102" s="357"/>
      <x:c r="D102" s="357"/>
      <x:c r="E102" s="357"/>
      <x:c r="F102" s="358"/>
      <x:c r="G102" s="358"/>
      <x:c r="H102" s="358"/>
      <x:c r="I102" s="359"/>
      <x:c r="J102" s="340" t="str">
        <x:f>IF(OR(F102="",G102="",H102="",Q102="",R102=""),"",ABS(F102-G102)/Q102*R102*H102+K102+L102)</x:f>
      </x:c>
      <x:c r="K102" s="360"/>
      <x:c r="L102" s="358"/>
      <x:c r="M102" s="358"/>
      <x:c r="N102" s="358"/>
      <x:c r="O102" s="358"/>
      <x:c r="P102" s="359"/>
      <x:c r="Q102" s="361" t="str">
        <x:f>IF(C102="","",'Контракт'!$B$13)</x:f>
      </x:c>
      <x:c r="R102" s="362" t="str">
        <x:f>IF(C102="","",'Контракт'!$B$14)</x:f>
      </x:c>
      <x:c r="S102" s="363" t="str">
        <x:f>IF(OR(D102="",M102="",N102="",H102="",Q102="",R102=""),"",IF(D102="Лонг",1,-1)*(N102-M102)/Q102*R102*H102)</x:f>
      </x:c>
      <x:c r="T102" s="364" t="str">
        <x:f>IF(S102="","",S102-O102-P102)</x:f>
      </x:c>
      <x:c r="U102" s="365" t="str">
        <x:f>IF(T102="","",IF(MAX(0,-T102)&gt;I102,"Да","Нет"))</x:f>
      </x:c>
      <x:c r="V102" s="366"/>
      <x:c r="W102" s="367"/>
    </x:row>
    <x:row r="103">
      <x:c r="A103" s="341" t="str">
        <x:f>IF(B103="","",ROW()-6)</x:f>
      </x:c>
      <x:c r="B103" s="356"/>
      <x:c r="C103" s="357"/>
      <x:c r="D103" s="357"/>
      <x:c r="E103" s="357"/>
      <x:c r="F103" s="358"/>
      <x:c r="G103" s="358"/>
      <x:c r="H103" s="358"/>
      <x:c r="I103" s="359"/>
      <x:c r="J103" s="340" t="str">
        <x:f>IF(OR(F103="",G103="",H103="",Q103="",R103=""),"",ABS(F103-G103)/Q103*R103*H103+K103+L103)</x:f>
      </x:c>
      <x:c r="K103" s="360"/>
      <x:c r="L103" s="358"/>
      <x:c r="M103" s="358"/>
      <x:c r="N103" s="358"/>
      <x:c r="O103" s="358"/>
      <x:c r="P103" s="359"/>
      <x:c r="Q103" s="361" t="str">
        <x:f>IF(C103="","",'Контракт'!$B$13)</x:f>
      </x:c>
      <x:c r="R103" s="362" t="str">
        <x:f>IF(C103="","",'Контракт'!$B$14)</x:f>
      </x:c>
      <x:c r="S103" s="363" t="str">
        <x:f>IF(OR(D103="",M103="",N103="",H103="",Q103="",R103=""),"",IF(D103="Лонг",1,-1)*(N103-M103)/Q103*R103*H103)</x:f>
      </x:c>
      <x:c r="T103" s="364" t="str">
        <x:f>IF(S103="","",S103-O103-P103)</x:f>
      </x:c>
      <x:c r="U103" s="365" t="str">
        <x:f>IF(T103="","",IF(MAX(0,-T103)&gt;I103,"Да","Нет"))</x:f>
      </x:c>
      <x:c r="V103" s="366"/>
      <x:c r="W103" s="367"/>
    </x:row>
    <x:row r="104">
      <x:c r="A104" s="341" t="str">
        <x:f>IF(B104="","",ROW()-6)</x:f>
      </x:c>
      <x:c r="B104" s="356"/>
      <x:c r="C104" s="357"/>
      <x:c r="D104" s="357"/>
      <x:c r="E104" s="357"/>
      <x:c r="F104" s="358"/>
      <x:c r="G104" s="358"/>
      <x:c r="H104" s="358"/>
      <x:c r="I104" s="359"/>
      <x:c r="J104" s="340" t="str">
        <x:f>IF(OR(F104="",G104="",H104="",Q104="",R104=""),"",ABS(F104-G104)/Q104*R104*H104+K104+L104)</x:f>
      </x:c>
      <x:c r="K104" s="360"/>
      <x:c r="L104" s="358"/>
      <x:c r="M104" s="358"/>
      <x:c r="N104" s="358"/>
      <x:c r="O104" s="358"/>
      <x:c r="P104" s="359"/>
      <x:c r="Q104" s="361" t="str">
        <x:f>IF(C104="","",'Контракт'!$B$13)</x:f>
      </x:c>
      <x:c r="R104" s="362" t="str">
        <x:f>IF(C104="","",'Контракт'!$B$14)</x:f>
      </x:c>
      <x:c r="S104" s="363" t="str">
        <x:f>IF(OR(D104="",M104="",N104="",H104="",Q104="",R104=""),"",IF(D104="Лонг",1,-1)*(N104-M104)/Q104*R104*H104)</x:f>
      </x:c>
      <x:c r="T104" s="364" t="str">
        <x:f>IF(S104="","",S104-O104-P104)</x:f>
      </x:c>
      <x:c r="U104" s="365" t="str">
        <x:f>IF(T104="","",IF(MAX(0,-T104)&gt;I104,"Да","Нет"))</x:f>
      </x:c>
      <x:c r="V104" s="366"/>
      <x:c r="W104" s="367"/>
    </x:row>
    <x:row r="105">
      <x:c r="A105" s="341" t="str">
        <x:f>IF(B105="","",ROW()-6)</x:f>
      </x:c>
      <x:c r="B105" s="356"/>
      <x:c r="C105" s="357"/>
      <x:c r="D105" s="357"/>
      <x:c r="E105" s="357"/>
      <x:c r="F105" s="358"/>
      <x:c r="G105" s="358"/>
      <x:c r="H105" s="358"/>
      <x:c r="I105" s="359"/>
      <x:c r="J105" s="340" t="str">
        <x:f>IF(OR(F105="",G105="",H105="",Q105="",R105=""),"",ABS(F105-G105)/Q105*R105*H105+K105+L105)</x:f>
      </x:c>
      <x:c r="K105" s="360"/>
      <x:c r="L105" s="358"/>
      <x:c r="M105" s="358"/>
      <x:c r="N105" s="358"/>
      <x:c r="O105" s="358"/>
      <x:c r="P105" s="359"/>
      <x:c r="Q105" s="361" t="str">
        <x:f>IF(C105="","",'Контракт'!$B$13)</x:f>
      </x:c>
      <x:c r="R105" s="362" t="str">
        <x:f>IF(C105="","",'Контракт'!$B$14)</x:f>
      </x:c>
      <x:c r="S105" s="363" t="str">
        <x:f>IF(OR(D105="",M105="",N105="",H105="",Q105="",R105=""),"",IF(D105="Лонг",1,-1)*(N105-M105)/Q105*R105*H105)</x:f>
      </x:c>
      <x:c r="T105" s="364" t="str">
        <x:f>IF(S105="","",S105-O105-P105)</x:f>
      </x:c>
      <x:c r="U105" s="365" t="str">
        <x:f>IF(T105="","",IF(MAX(0,-T105)&gt;I105,"Да","Нет"))</x:f>
      </x:c>
      <x:c r="V105" s="366"/>
      <x:c r="W105" s="367"/>
    </x:row>
    <x:row r="106">
      <x:c r="A106" s="342" t="str">
        <x:f>IF(B106="","",ROW()-6)</x:f>
      </x:c>
      <x:c r="B106" s="368"/>
      <x:c r="C106" s="369"/>
      <x:c r="D106" s="369"/>
      <x:c r="E106" s="369"/>
      <x:c r="F106" s="370"/>
      <x:c r="G106" s="370"/>
      <x:c r="H106" s="370"/>
      <x:c r="I106" s="371"/>
      <x:c r="J106" s="372" t="str">
        <x:f>IF(OR(F106="",G106="",H106="",Q106="",R106=""),"",ABS(F106-G106)/Q106*R106*H106+K106+L106)</x:f>
      </x:c>
      <x:c r="K106" s="373"/>
      <x:c r="L106" s="370"/>
      <x:c r="M106" s="370"/>
      <x:c r="N106" s="370"/>
      <x:c r="O106" s="370"/>
      <x:c r="P106" s="371"/>
      <x:c r="Q106" s="374" t="str">
        <x:f>IF(C106="","",'Контракт'!$B$13)</x:f>
      </x:c>
      <x:c r="R106" s="375" t="str">
        <x:f>IF(C106="","",'Контракт'!$B$14)</x:f>
      </x:c>
      <x:c r="S106" s="376" t="str">
        <x:f>IF(OR(D106="",M106="",N106="",H106="",Q106="",R106=""),"",IF(D106="Лонг",1,-1)*(N106-M106)/Q106*R106*H106)</x:f>
      </x:c>
      <x:c r="T106" s="377" t="str">
        <x:f>IF(S106="","",S106-O106-P106)</x:f>
      </x:c>
      <x:c r="U106" s="378" t="str">
        <x:f>IF(T106="","",IF(MAX(0,-T106)&gt;I106,"Да","Нет"))</x:f>
      </x:c>
      <x:c r="V106" s="379"/>
      <x:c r="W106" s="380"/>
    </x:row>
  </x:sheetData>
  <x:mergeCells>
    <x:mergeCell ref="A1:W2"/>
    <x:mergeCell ref="A3:W3"/>
    <x:mergeCell ref="A5:J5"/>
    <x:mergeCell ref="K5:R5"/>
    <x:mergeCell ref="S5:W5"/>
  </x:mergeCells>
  <x:conditionalFormatting sqref="U7:U106">
    <x:cfRule type="containsText" dxfId="2" priority="1" operator="containsText" text="Да"/>
  </x:conditionalFormatting>
  <x:dataValidations count="2">
    <x:dataValidation type="list" sqref="D7:D106">
      <x:formula1>"Лонг,Шорт"</x:formula1>
    </x:dataValidation>
    <x:dataValidation type="list" sqref="V7:V106">
      <x:formula1>"По процессу,С отклонением,Не по процессу"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613174903249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56" hidden="0" customWidth="1"/>
    <x:col min="4" max="4" width="19" hidden="0" customWidth="1"/>
    <x:col min="5" max="5" width="19" hidden="0" customWidth="1"/>
    <x:col min="6" max="6" width="40" hidden="0" customWidth="1"/>
  </x:cols>
  <x:sheetData>
    <x:row r="1">
      <x:c r="A1" s="201" t="str">
        <x:v>Прогресс и интервальное повторение</x:v>
      </x:c>
      <x:c r="B1" s="201" t="str">
        <x:v>Прогресс и интервальное повторение</x:v>
      </x:c>
      <x:c r="C1" s="201" t="str">
        <x:v>Прогресс и интервальное повторение</x:v>
      </x:c>
      <x:c r="D1" s="201" t="str">
        <x:v>Прогресс и интервальное повторение</x:v>
      </x:c>
      <x:c r="E1" s="201" t="str">
        <x:v>Прогресс и интервальное повторение</x:v>
      </x:c>
      <x:c r="F1" s="201" t="str">
        <x:v>Прогресс и интервальное повторение</x:v>
      </x:c>
    </x:row>
    <x:row r="2">
      <x:c r="A2" s="201" t="str">
        <x:v>Прогресс и интервальное повторение</x:v>
      </x:c>
      <x:c r="B2" s="201" t="str">
        <x:v>Прогресс и интервальное повторение</x:v>
      </x:c>
      <x:c r="C2" s="201" t="str">
        <x:v>Прогресс и интервальное повторение</x:v>
      </x:c>
      <x:c r="D2" s="201" t="str">
        <x:v>Прогресс и интервальное повторение</x:v>
      </x:c>
      <x:c r="E2" s="201" t="str">
        <x:v>Прогресс и интервальное повторение</x:v>
      </x:c>
      <x:c r="F2" s="201" t="str">
        <x:v>Прогресс и интервальное повторение</x:v>
      </x:c>
    </x:row>
    <x:row r="3" ht="42" customHeight="1">
      <x:c r="A3" s="202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  <x:c r="B3" s="203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  <x:c r="C3" s="203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  <x:c r="D3" s="203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  <x:c r="E3" s="203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  <x:c r="F3" s="204" t="str">
        <x:v>Статус «самостоятельно» требует решения без подсказки; «перенос подтверждён» — новой проверки после задержки или в изменённом контексте.</x:v>
      </x:c>
    </x:row>
    <x:row r="4">
      <x:c r="A4" s="205"/>
      <x:c r="B4" s="205"/>
      <x:c r="C4" s="205"/>
      <x:c r="D4" s="205"/>
      <x:c r="E4" s="205"/>
      <x:c r="F4" s="205"/>
    </x:row>
    <x:row r="5" ht="36" customHeight="1">
      <x:c r="A5" s="229" t="str">
        <x:v>Навык</x:v>
      </x:c>
      <x:c r="B5" s="230" t="str">
        <x:v>Статус</x:v>
      </x:c>
      <x:c r="C5" s="230" t="str">
        <x:v>Свидетельство</x:v>
      </x:c>
      <x:c r="D5" s="230" t="str">
        <x:v>Последняя проверка</x:v>
      </x:c>
      <x:c r="E5" s="230" t="str">
        <x:v>Следующая проверка</x:v>
      </x:c>
      <x:c r="F5" s="231" t="str">
        <x:v>Персональная ловушка</x:v>
      </x:c>
    </x:row>
    <x:row r="6" ht="36" customHeight="1">
      <x:c r="A6" s="324" t="str">
        <x:v>Механика фьючерса</x:v>
      </x:c>
      <x:c r="B6" s="354" t="str">
        <x:v>требует диагностики</x:v>
      </x:c>
      <x:c r="C6" s="345" t="str">
        <x:v>Прошлое знакомство не подтверждает устойчивый навык</x:v>
      </x:c>
      <x:c r="D6" s="381"/>
      <x:c r="E6" s="381"/>
      <x:c r="F6" s="355"/>
    </x:row>
    <x:row r="7" ht="36" customHeight="1">
      <x:c r="A7" s="324" t="str">
        <x:v>Плечо и база процента</x:v>
      </x:c>
      <x:c r="B7" s="366" t="str">
        <x:v>практика с подсказками</x:v>
      </x:c>
      <x:c r="C7" s="357" t="str">
        <x:v>После разбора решён близкий пример; нужен отсроченный контроль</x:v>
      </x:c>
      <x:c r="D7" s="382" t="n">
        <x:v>46265</x:v>
      </x:c>
      <x:c r="E7" s="382"/>
      <x:c r="F7" s="367" t="str">
        <x:v>Не применять плечо дважды</x:v>
      </x:c>
    </x:row>
    <x:row r="8" ht="36" customHeight="1">
      <x:c r="A8" s="324" t="str">
        <x:v>Паспорт контракта и единицы</x:v>
      </x:c>
      <x:c r="B8" s="366" t="str">
        <x:v>требует диагностики</x:v>
      </x:c>
      <x:c r="C8" s="357" t="str">
        <x:v>Нет свежего самостоятельного задания</x:v>
      </x:c>
      <x:c r="D8" s="382"/>
      <x:c r="E8" s="382"/>
      <x:c r="F8" s="367"/>
    </x:row>
    <x:row r="9" ht="36" customHeight="1">
      <x:c r="A9" s="324" t="str">
        <x:v>P&amp;L двумя способами</x:v>
      </x:c>
      <x:c r="B9" s="366" t="str">
        <x:v>практика с подсказками</x:v>
      </x:c>
      <x:c r="C9" s="357" t="str">
        <x:v>Направление и один путь знакомы; второй способ не закреплён</x:v>
      </x:c>
      <x:c r="D9" s="382" t="n">
        <x:v>46265</x:v>
      </x:c>
      <x:c r="E9" s="382"/>
      <x:c r="F9" s="367" t="str">
        <x:v>Подписывать базу процента и единицы</x:v>
      </x:c>
    </x:row>
    <x:row r="10" ht="36" customHeight="1">
      <x:c r="A10" s="324" t="str">
        <x:v>ГО, номинал, капитал и риск-бюджет</x:v>
      </x:c>
      <x:c r="B10" s="366" t="str">
        <x:v>не начато</x:v>
      </x:c>
      <x:c r="C10" s="357" t="str">
        <x:v>Расчёт числа контрактов по риск-бюджету ещё не проходил</x:v>
      </x:c>
      <x:c r="D10" s="382"/>
      <x:c r="E10" s="382"/>
      <x:c r="F10" s="367" t="str">
        <x:v>ГО не равно цене или максимуму убытка</x:v>
      </x:c>
    </x:row>
    <x:row r="11" ht="36" customHeight="1">
      <x:c r="A11" s="324" t="str">
        <x:v>Стоп, исполнение и издержки</x:v>
      </x:c>
      <x:c r="B11" s="366" t="str">
        <x:v>не начато</x:v>
      </x:c>
      <x:c r="C11" s="357" t="str">
        <x:v>Не проверено</x:v>
      </x:c>
      <x:c r="D11" s="382"/>
      <x:c r="E11" s="382"/>
      <x:c r="F11" s="367" t="str">
        <x:v>Стоп не гарантирует цену исполнения</x:v>
      </x:c>
    </x:row>
    <x:row r="12" ht="36" customHeight="1">
      <x:c r="A12" s="324" t="str">
        <x:v>Серия бумажных решений</x:v>
      </x:c>
      <x:c r="B12" s="366" t="str">
        <x:v>не начато</x:v>
      </x:c>
      <x:c r="C12" s="357" t="str">
        <x:v>Журнал пока пуст</x:v>
      </x:c>
      <x:c r="D12" s="382"/>
      <x:c r="E12" s="382"/>
      <x:c r="F12" s="367"/>
    </x:row>
    <x:row r="13" ht="36" customHeight="1">
      <x:c r="A13" s="324" t="str">
        <x:v>Статистика и ограничения выборки</x:v>
      </x:c>
      <x:c r="B13" s="366" t="str">
        <x:v>требует диагностики</x:v>
      </x:c>
      <x:c r="C13" s="357" t="str">
        <x:v>Предметный перенос не проверен</x:v>
      </x:c>
      <x:c r="D13" s="382"/>
      <x:c r="E13" s="382"/>
      <x:c r="F13" s="367"/>
    </x:row>
    <x:row r="14" ht="36" customHeight="1">
      <x:c r="A14" s="324" t="str">
        <x:v>Python для анализа</x:v>
      </x:c>
      <x:c r="B14" s="379" t="str">
        <x:v>не начато</x:v>
      </x:c>
      <x:c r="C14" s="369" t="str">
        <x:v>Практический опыт не подтверждён</x:v>
      </x:c>
      <x:c r="D14" s="383"/>
      <x:c r="E14" s="383"/>
      <x:c r="F14" s="380" t="str">
        <x:v>Вводить постепенно на знакомых данных</x:v>
      </x:c>
    </x:row>
  </x:sheetData>
  <x:mergeCells>
    <x:mergeCell ref="A1:F2"/>
    <x:mergeCell ref="A3:F3"/>
  </x:mergeCells>
  <x:conditionalFormatting sqref="B6:B14">
    <x:cfRule type="containsText" dxfId="3" priority="1" operator="containsText" text="перенос подтверждён"/>
  </x:conditionalFormatting>
  <x:dataValidations count="1">
    <x:dataValidation type="list" sqref="B6:B14">
      <x:formula1>"не начато,введено,практика с подсказками,самостоятельно,перенос подтверждён,нужно повторить,требует диагностики"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32" hidden="0" customWidth="1"/>
    <x:col min="4" max="4" width="25" hidden="0" customWidth="1"/>
    <x:col min="5" max="5" width="32" hidden="0" customWidth="1"/>
    <x:col min="6" max="6" width="30" hidden="0" customWidth="1"/>
  </x:cols>
  <x:sheetData>
    <x:row r="1">
      <x:c r="A1" s="201" t="str">
        <x:v>Реестр источников и паспорт среза</x:v>
      </x:c>
      <x:c r="B1" s="201" t="str">
        <x:v>Реестр источников и паспорт среза</x:v>
      </x:c>
      <x:c r="C1" s="201" t="str">
        <x:v>Реестр источников и паспорт среза</x:v>
      </x:c>
      <x:c r="D1" s="201" t="str">
        <x:v>Реестр источников и паспорт среза</x:v>
      </x:c>
      <x:c r="E1" s="201" t="str">
        <x:v>Реестр источников и паспорт среза</x:v>
      </x:c>
      <x:c r="F1" s="201" t="str">
        <x:v>Реестр источников и паспорт среза</x:v>
      </x:c>
    </x:row>
    <x:row r="2">
      <x:c r="A2" s="201" t="str">
        <x:v>Реестр источников и паспорт среза</x:v>
      </x:c>
      <x:c r="B2" s="201" t="str">
        <x:v>Реестр источников и паспорт среза</x:v>
      </x:c>
      <x:c r="C2" s="201" t="str">
        <x:v>Реестр источников и паспорт среза</x:v>
      </x:c>
      <x:c r="D2" s="201" t="str">
        <x:v>Реестр источников и паспорт среза</x:v>
      </x:c>
      <x:c r="E2" s="201" t="str">
        <x:v>Реестр источников и паспорт среза</x:v>
      </x:c>
      <x:c r="F2" s="201" t="str">
        <x:v>Реестр источников и паспорт среза</x:v>
      </x:c>
    </x:row>
    <x:row r="3">
      <x:c r="A3" s="205"/>
      <x:c r="B3" s="205"/>
      <x:c r="C3" s="205"/>
      <x:c r="D3" s="205"/>
      <x:c r="E3" s="205"/>
      <x:c r="F3" s="205"/>
    </x:row>
    <x:row r="4" ht="42" customHeight="1">
      <x:c r="A4" s="229" t="str">
        <x:v>Источник</x:v>
      </x:c>
      <x:c r="B4" s="230" t="str">
        <x:v>URL</x:v>
      </x:c>
      <x:c r="C4" s="230" t="str">
        <x:v>Роль</x:v>
      </x:c>
      <x:c r="D4" s="230" t="str">
        <x:v>Проверено</x:v>
      </x:c>
      <x:c r="E4" s="230" t="str">
        <x:v>Свежесть</x:v>
      </x:c>
      <x:c r="F4" s="231" t="str">
        <x:v>Ограничение</x:v>
      </x:c>
    </x:row>
    <x:row r="5" ht="42" customHeight="1">
      <x:c r="A5" s="217" t="str">
        <x:v>MOEX: срочный рынок</x:v>
      </x:c>
      <x:c r="B5" s="219" t="str">
        <x:v>https://www.moex.com/ru/derivatives</x:v>
      </x:c>
      <x:c r="C5" s="219" t="str">
        <x:v>Спецификации и документы</x:v>
      </x:c>
      <x:c r="D5" s="307" t="n">
        <x:v>46266</x:v>
      </x:c>
      <x:c r="E5" s="219" t="str">
        <x:v>Перед текущей задачей</x:v>
      </x:c>
      <x:c r="F5" s="220" t="str">
        <x:v>Проверять точную серию</x:v>
      </x:c>
    </x:row>
    <x:row r="6" ht="42" customHeight="1">
      <x:c r="A6" s="221" t="str">
        <x:v>MOEX: ГО</x:v>
      </x:c>
      <x:c r="B6" s="223" t="str">
        <x:v>https://www.moex.com/ru/derivatives/go_futures.aspx</x:v>
      </x:c>
      <x:c r="C6" s="223" t="str">
        <x:v>Текущее гарантийное обеспечение</x:v>
      </x:c>
      <x:c r="D6" s="308" t="n">
        <x:v>46266</x:v>
      </x:c>
      <x:c r="E6" s="223" t="str">
        <x:v>В день использования</x:v>
      </x:c>
      <x:c r="F6" s="224" t="str">
        <x:v>ГО меняется</x:v>
      </x:c>
    </x:row>
    <x:row r="7" ht="42" customHeight="1">
      <x:c r="A7" s="221" t="str">
        <x:v>MOEX ISS</x:v>
      </x:c>
      <x:c r="B7" s="223" t="str">
        <x:v>https://www.moex.com/a2193</x:v>
      </x:c>
      <x:c r="C7" s="223" t="str">
        <x:v>Карточки, снимки и свечи</x:v>
      </x:c>
      <x:c r="D7" s="308" t="n">
        <x:v>46266</x:v>
      </x:c>
      <x:c r="E7" s="223" t="str">
        <x:v>Каждый ответ с timestamp</x:v>
      </x:c>
      <x:c r="F7" s="224" t="str">
        <x:v>Данные могут быть отложены</x:v>
      </x:c>
    </x:row>
    <x:row r="8" ht="42" customHeight="1">
      <x:c r="A8" s="221" t="str">
        <x:v>НКЦ</x:v>
      </x:c>
      <x:c r="B8" s="223" t="str">
        <x:v>https://www.nationalclearingcentre.ru/</x:v>
      </x:c>
      <x:c r="C8" s="223" t="str">
        <x:v>Клиринг и риск-параметры</x:v>
      </x:c>
      <x:c r="D8" s="308" t="n">
        <x:v>46266</x:v>
      </x:c>
      <x:c r="E8" s="223" t="str">
        <x:v>Действующая редакция</x:v>
      </x:c>
      <x:c r="F8" s="224" t="str">
        <x:v>Проверять область документа</x:v>
      </x:c>
    </x:row>
    <x:row r="9" ht="42" customHeight="1">
      <x:c r="A9" s="221" t="str">
        <x:v>Банк России</x:v>
      </x:c>
      <x:c r="B9" s="223" t="str">
        <x:v>https://www.cbr.ru/s/258d</x:v>
      </x:c>
      <x:c r="C9" s="223" t="str">
        <x:v>Тестирование инвесторов</x:v>
      </x:c>
      <x:c r="D9" s="308" t="n">
        <x:v>46266</x:v>
      </x:c>
      <x:c r="E9" s="223" t="str">
        <x:v>Перед правовым выводом</x:v>
      </x:c>
      <x:c r="F9" s="224" t="str">
        <x:v>Проверять редакцию</x:v>
      </x:c>
    </x:row>
    <x:row r="10" ht="42" customHeight="1">
      <x:c r="A10" s="221" t="str">
        <x:v>MOEX School</x:v>
      </x:c>
      <x:c r="B10" s="223" t="str">
        <x:v>https://school.moex.com/courses/srochnyj-rynok-klyuch-k-finansovoj-nezavisimosti</x:v>
      </x:c>
      <x:c r="C10" s="223" t="str">
        <x:v>Русскоязычное введение</x:v>
      </x:c>
      <x:c r="D10" s="308" t="n">
        <x:v>46266</x:v>
      </x:c>
      <x:c r="E10" s="223" t="str">
        <x:v>Периодически</x:v>
      </x:c>
      <x:c r="F10" s="224" t="str">
        <x:v>Не заменяет спецификацию</x:v>
      </x:c>
    </x:row>
    <x:row r="11" ht="42" customHeight="1">
      <x:c r="A11" s="221" t="str">
        <x:v>CME Education</x:v>
      </x:c>
      <x:c r="B11" s="223" t="str">
        <x:v>https://www.cmegroup.com/education</x:v>
      </x:c>
      <x:c r="C11" s="223" t="str">
        <x:v>Механика фьючерсов</x:v>
      </x:c>
      <x:c r="D11" s="308" t="n">
        <x:v>46266</x:v>
      </x:c>
      <x:c r="E11" s="223" t="str">
        <x:v>Периодически</x:v>
      </x:c>
      <x:c r="F11" s="224" t="str">
        <x:v>Не переносить правила CME на MOEX</x:v>
      </x:c>
    </x:row>
    <x:row r="12" ht="42" customHeight="1">
      <x:c r="A12" s="225" t="str">
        <x:v>MOEX AlgoPack</x:v>
      </x:c>
      <x:c r="B12" s="227" t="str">
        <x:v>https://moexalgo.github.io/docs/api/</x:v>
      </x:c>
      <x:c r="C12" s="227" t="str">
        <x:v>Будущий этап анализа данных</x:v>
      </x:c>
      <x:c r="D12" s="309" t="n">
        <x:v>46266</x:v>
      </x:c>
      <x:c r="E12" s="227" t="str">
        <x:v>Перед подключением</x:v>
      </x:c>
      <x:c r="F12" s="228" t="str">
        <x:v>Не нужен на базовом этапе</x:v>
      </x:c>
    </x:row>
    <x:row r="13" ht="42" customHeight="1">
      <x:c r="A13" s="324"/>
      <x:c r="B13" s="324"/>
      <x:c r="C13" s="324"/>
      <x:c r="D13" s="324"/>
      <x:c r="E13" s="324"/>
      <x:c r="F13" s="324"/>
    </x:row>
    <x:row r="14" ht="42" customHeight="1">
      <x:c r="A14" s="332" t="str">
        <x:v>Паспорт использованного текущего значения</x:v>
      </x:c>
      <x:c r="B14" s="332" t="str">
        <x:v>Паспорт использованного текущего значения</x:v>
      </x:c>
      <x:c r="C14" s="332" t="str">
        <x:v>Паспорт использованного текущего значения</x:v>
      </x:c>
      <x:c r="D14" s="332" t="str">
        <x:v>Паспорт использованного текущего значения</x:v>
      </x:c>
      <x:c r="E14" s="332" t="str">
        <x:v>Паспорт использованного текущего значения</x:v>
      </x:c>
      <x:c r="F14" s="332" t="str">
        <x:v>Паспорт использованного текущего значения</x:v>
      </x:c>
    </x:row>
    <x:row r="15" ht="42" customHeight="1">
      <x:c r="A15" s="229" t="str">
        <x:v>Тезис</x:v>
      </x:c>
      <x:c r="B15" s="230" t="str">
        <x:v>SECID</x:v>
      </x:c>
      <x:c r="C15" s="230" t="str">
        <x:v>Поле MOEX</x:v>
      </x:c>
      <x:c r="D15" s="230" t="str">
        <x:v>Значение и единица</x:v>
      </x:c>
      <x:c r="E15" s="230" t="str">
        <x:v>Источник URL / получено</x:v>
      </x:c>
      <x:c r="F15" s="231" t="str">
        <x:v>Статус и ограничения</x:v>
      </x:c>
    </x:row>
    <x:row r="16" ht="42" customHeight="1">
      <x:c r="A16" s="354"/>
      <x:c r="B16" s="345"/>
      <x:c r="C16" s="345"/>
      <x:c r="D16" s="345"/>
      <x:c r="E16" s="345"/>
      <x:c r="F16" s="355"/>
    </x:row>
    <x:row r="17" ht="42" customHeight="1">
      <x:c r="A17" s="366"/>
      <x:c r="B17" s="357"/>
      <x:c r="C17" s="357"/>
      <x:c r="D17" s="357"/>
      <x:c r="E17" s="357"/>
      <x:c r="F17" s="367"/>
    </x:row>
    <x:row r="18" ht="42" customHeight="1">
      <x:c r="A18" s="366"/>
      <x:c r="B18" s="357"/>
      <x:c r="C18" s="357"/>
      <x:c r="D18" s="357"/>
      <x:c r="E18" s="357"/>
      <x:c r="F18" s="367"/>
    </x:row>
    <x:row r="19" ht="42" customHeight="1">
      <x:c r="A19" s="366"/>
      <x:c r="B19" s="357"/>
      <x:c r="C19" s="357"/>
      <x:c r="D19" s="357"/>
      <x:c r="E19" s="357"/>
      <x:c r="F19" s="367"/>
    </x:row>
    <x:row r="20" ht="42" customHeight="1">
      <x:c r="A20" s="366"/>
      <x:c r="B20" s="357"/>
      <x:c r="C20" s="357"/>
      <x:c r="D20" s="357"/>
      <x:c r="E20" s="357"/>
      <x:c r="F20" s="367"/>
    </x:row>
    <x:row r="21" ht="42" customHeight="1">
      <x:c r="A21" s="366"/>
      <x:c r="B21" s="357"/>
      <x:c r="C21" s="357"/>
      <x:c r="D21" s="357"/>
      <x:c r="E21" s="357"/>
      <x:c r="F21" s="367"/>
    </x:row>
    <x:row r="22" ht="42" customHeight="1">
      <x:c r="A22" s="366"/>
      <x:c r="B22" s="357"/>
      <x:c r="C22" s="357"/>
      <x:c r="D22" s="357"/>
      <x:c r="E22" s="357"/>
      <x:c r="F22" s="367"/>
    </x:row>
    <x:row r="23" ht="42" customHeight="1">
      <x:c r="A23" s="366"/>
      <x:c r="B23" s="357"/>
      <x:c r="C23" s="357"/>
      <x:c r="D23" s="357"/>
      <x:c r="E23" s="357"/>
      <x:c r="F23" s="367"/>
    </x:row>
    <x:row r="24" ht="42" customHeight="1">
      <x:c r="A24" s="366"/>
      <x:c r="B24" s="357"/>
      <x:c r="C24" s="357"/>
      <x:c r="D24" s="357"/>
      <x:c r="E24" s="357"/>
      <x:c r="F24" s="367"/>
    </x:row>
    <x:row r="25" ht="42" customHeight="1">
      <x:c r="A25" s="379"/>
      <x:c r="B25" s="369"/>
      <x:c r="C25" s="369"/>
      <x:c r="D25" s="369"/>
      <x:c r="E25" s="369"/>
      <x:c r="F25" s="380"/>
    </x:row>
  </x:sheetData>
  <x:mergeCells>
    <x:mergeCell ref="A1:F2"/>
    <x:mergeCell ref="A14:F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>
      <x:c r="A1" s="201" t="str">
        <x:v>Проверки модели</x:v>
      </x:c>
      <x:c r="B1" s="201" t="str">
        <x:v>Проверки модели</x:v>
      </x:c>
      <x:c r="C1" s="201" t="str">
        <x:v>Проверки модели</x:v>
      </x:c>
      <x:c r="D1" s="201" t="str">
        <x:v>Проверки модели</x:v>
      </x:c>
      <x:c r="E1" s="201" t="str">
        <x:v>Проверки модели</x:v>
      </x:c>
      <x:c r="F1" s="201" t="str">
        <x:v>Проверки модели</x:v>
      </x:c>
    </x:row>
    <x:row r="2">
      <x:c r="A2" s="201" t="str">
        <x:v>Проверки модели</x:v>
      </x:c>
      <x:c r="B2" s="201" t="str">
        <x:v>Проверки модели</x:v>
      </x:c>
      <x:c r="C2" s="201" t="str">
        <x:v>Проверки модели</x:v>
      </x:c>
      <x:c r="D2" s="201" t="str">
        <x:v>Проверки модели</x:v>
      </x:c>
      <x:c r="E2" s="201" t="str">
        <x:v>Проверки модели</x:v>
      </x:c>
      <x:c r="F2" s="201" t="str">
        <x:v>Проверки модели</x:v>
      </x:c>
    </x:row>
    <x:row r="3">
      <x:c r="A3" s="205"/>
      <x:c r="B3" s="205"/>
      <x:c r="C3" s="205"/>
      <x:c r="D3" s="205"/>
      <x:c r="E3" s="205"/>
      <x:c r="F3" s="205"/>
    </x:row>
    <x:row r="4" ht="36" customHeight="1">
      <x:c r="A4" s="229" t="str">
        <x:v>Проверка</x:v>
      </x:c>
      <x:c r="B4" s="230" t="str">
        <x:v>Фактическое</x:v>
      </x:c>
      <x:c r="C4" s="230" t="str">
        <x:v>Ожидаемое</x:v>
      </x:c>
      <x:c r="D4" s="230" t="str">
        <x:v>Разница</x:v>
      </x:c>
      <x:c r="E4" s="230" t="str">
        <x:v>Статус</x:v>
      </x:c>
      <x:c r="F4" s="231" t="str">
        <x:v>Что исправить</x:v>
      </x:c>
    </x:row>
    <x:row r="5" ht="36" customHeight="1">
      <x:c r="A5" s="217" t="str">
        <x:v>MINSTEP заполнен и положителен</x:v>
      </x:c>
      <x:c r="B5" s="384" t="n">
        <x:f>'Контракт'!$B$13</x:f>
        <x:v>0</x:v>
      </x:c>
      <x:c r="C5" s="385" t="str">
        <x:v>&gt;0</x:v>
      </x:c>
      <x:c r="D5" s="385"/>
      <x:c r="E5" s="384" t="str">
        <x:f>IF(B5&gt;0,"OK","Проверить")</x:f>
        <x:v>Проверить</x:v>
      </x:c>
      <x:c r="F5" s="220" t="str">
        <x:v>Заполнить Контракт!B13 из карточки MOEX</x:v>
      </x:c>
    </x:row>
    <x:row r="6" ht="36" customHeight="1">
      <x:c r="A6" s="221" t="str">
        <x:v>STEPPRICE заполнен и положителен</x:v>
      </x:c>
      <x:c r="B6" s="386" t="n">
        <x:f>'Контракт'!$B$14</x:f>
        <x:v>0</x:v>
      </x:c>
      <x:c r="C6" s="387" t="str">
        <x:v>&gt;0</x:v>
      </x:c>
      <x:c r="D6" s="387"/>
      <x:c r="E6" s="386" t="str">
        <x:f>IF(B6&gt;0,"OK","Проверить")</x:f>
        <x:v>Проверить</x:v>
      </x:c>
      <x:c r="F6" s="224" t="str">
        <x:v>Заполнить Контракт!B14 и проверить спецификацию</x:v>
      </x:c>
    </x:row>
    <x:row r="7" ht="36" customHeight="1">
      <x:c r="A7" s="221" t="str">
        <x:v>ГО заполнено и положительно</x:v>
      </x:c>
      <x:c r="B7" s="386" t="n">
        <x:f>'Контракт'!$B$16</x:f>
        <x:v>0</x:v>
      </x:c>
      <x:c r="C7" s="387" t="str">
        <x:v>&gt;0</x:v>
      </x:c>
      <x:c r="D7" s="387"/>
      <x:c r="E7" s="386" t="str">
        <x:f>IF(B7&gt;0,"OK","Проверить")</x:f>
        <x:v>Проверить</x:v>
      </x:c>
      <x:c r="F7" s="224" t="str">
        <x:v>Заполнить Контракт!B16; не трактовать как максимум убытка</x:v>
      </x:c>
    </x:row>
    <x:row r="8" ht="36" customHeight="1">
      <x:c r="A8" s="221" t="str">
        <x:v>Строк с плановым убытком выше риск-бюджета</x:v>
      </x:c>
      <x:c r="B8" s="386" t="n">
        <x:f>SUMPRODUCT(--('Журнал сделок'!$B$7:$B$106&lt;&gt;""),--('Журнал сделок'!$J$7:$J$106&gt;'Журнал сделок'!$I$7:$I$106))</x:f>
        <x:v>0</x:v>
      </x:c>
      <x:c r="C8" s="387" t="str">
        <x:v>0</x:v>
      </x:c>
      <x:c r="D8" s="387"/>
      <x:c r="E8" s="386" t="str">
        <x:f>IF(B8=0,"OK","Проверить")</x:f>
        <x:v>OK</x:v>
      </x:c>
      <x:c r="F8" s="224" t="str">
        <x:v>Пересмотреть число контрактов или план</x:v>
      </x:c>
    </x:row>
    <x:row r="9" ht="36" customHeight="1">
      <x:c r="A9" s="221" t="str">
        <x:v>Строк с превышением риск-бюджета по факту</x:v>
      </x:c>
      <x:c r="B9" s="386" t="n">
        <x:f>COUNTIF('Журнал сделок'!$U$7:$U$106,"Да")</x:f>
        <x:v>0</x:v>
      </x:c>
      <x:c r="C9" s="387" t="str">
        <x:v>0</x:v>
      </x:c>
      <x:c r="D9" s="387"/>
      <x:c r="E9" s="386" t="str">
        <x:f>IF(B9=0,"OK","Проверить")</x:f>
        <x:v>OK</x:v>
      </x:c>
      <x:c r="F9" s="224" t="str">
        <x:v>Разобрать исполнение и риск-процесс</x:v>
      </x:c>
    </x:row>
    <x:row r="10" ht="36" customHeight="1">
      <x:c r="A10" s="225" t="str">
        <x:v>Источник текущего контракта указан</x:v>
      </x:c>
      <x:c r="B10" s="388" t="str">
        <x:f>IF('Контракт'!$B$8&lt;&gt;"","Да","Нет")</x:f>
        <x:v>Нет</x:v>
      </x:c>
      <x:c r="C10" s="389" t="str">
        <x:v>Да</x:v>
      </x:c>
      <x:c r="D10" s="389"/>
      <x:c r="E10" s="388" t="str">
        <x:f>IF(B10="Да","OK","Проверить")</x:f>
        <x:v>Проверить</x:v>
      </x:c>
      <x:c r="F10" s="228" t="str">
        <x:v>Добавить прямой URL MOEX ISS</x:v>
      </x:c>
    </x:row>
    <x:row r="11">
      <x:c r="A11" s="324"/>
      <x:c r="B11" s="324"/>
      <x:c r="C11" s="324"/>
      <x:c r="D11" s="324"/>
      <x:c r="E11" s="324"/>
      <x:c r="F11" s="324"/>
    </x:row>
    <x:row r="12">
      <x:c r="A12" s="390" t="str">
        <x:v>Общий статус</x:v>
      </x:c>
      <x:c r="B12" s="391" t="str">
        <x:f>IF(COUNTIF(E5:E10,"Проверить")=0,"Модель готова","Нужно заполнить и проверить")</x:f>
        <x:v>Нужно заполнить и проверить</x:v>
      </x:c>
      <x:c r="C12" s="324"/>
      <x:c r="D12" s="324"/>
      <x:c r="E12" s="324"/>
      <x:c r="F12" s="324"/>
    </x:row>
  </x:sheetData>
  <x:mergeCells>
    <x:mergeCell ref="A1:F2"/>
  </x:mergeCells>
  <x:conditionalFormatting sqref="E5:E10">
    <x:cfRule type="containsText" dxfId="4" priority="1" operator="containsText" text="OK"/>
    <x:cfRule type="containsText" dxfId="5" priority="2" operator="containsText" text="Проверить"/>
  </x:conditionalFormatting>
  <x:pageMargins left="0.7" right="0.7" top="0.75" bottom="0.75" header="0.3" footer="0.3"/>
</x:worksheet>
</file>